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RO" sheetId="2" state="visible" r:id="rId4"/>
    <sheet name="CFO" sheetId="3" state="visible" r:id="rId5"/>
    <sheet name="CEO" sheetId="4" state="visible" r:id="rId6"/>
    <sheet name="VPCS" sheetId="5" state="visible" r:id="rId7"/>
    <sheet name="CSM" sheetId="6" state="visible" r:id="rId8"/>
    <sheet name="Consolid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<sst xmlns="http://schemas.openxmlformats.org/spreadsheetml/2006/main" count="719" uniqueCount="273">
  <si>
    <t xml:space="preserve">CS Pulse — FDE Discovery Workbook</t>
  </si>
  <si>
    <t xml:space="preserve">Purpose</t>
  </si>
  <si>
    <t xml:space="preserve">Capture per-persona discovery data so we can configure the customer's tenant: KPI selections, pillar weights, signal channels, stakeholders, success outcomes, and decision cadence.</t>
  </si>
  <si>
    <t xml:space="preserve">How to use</t>
  </si>
  <si>
    <t xml:space="preserve">FDE sends the relevant tab to each persona's stakeholder. Stakeholder fills blue cells. FDE reviews, then the Consolidation tab rolls everything into a config-export view that maps directly to CustomerConfig fields.</t>
  </si>
  <si>
    <t xml:space="preserve">Color legend — blue</t>
  </si>
  <si>
    <t xml:space="preserve">Input cell. The stakeholder fills this in.</t>
  </si>
  <si>
    <t xml:space="preserve">Color legend — yellow</t>
  </si>
  <si>
    <t xml:space="preserve">Required input. Do not skip.</t>
  </si>
  <si>
    <t xml:space="preserve">Color legend — black</t>
  </si>
  <si>
    <t xml:space="preserve">Formula. Do not edit.</t>
  </si>
  <si>
    <t xml:space="preserve">Color legend — green</t>
  </si>
  <si>
    <t xml:space="preserve">Cross-sheet link on Consolidation. Pulls from persona tabs.</t>
  </si>
  <si>
    <t xml:space="preserve">Color legend — red</t>
  </si>
  <si>
    <t xml:space="preserve">Conflict flag. Two personas disagree by more than the tolerance band.</t>
  </si>
  <si>
    <t xml:space="preserve">Tabs</t>
  </si>
  <si>
    <t xml:space="preserve">README · CRO · CFO · CEO · VPCS · CSM · Consolidation</t>
  </si>
  <si>
    <t xml:space="preserve">Persona owner mapping</t>
  </si>
  <si>
    <t xml:space="preserve">CRO = revenue. CFO = ROI / proof. CEO = portfolio rollup. VP CS = team + playbooks. CSM = daily account work.</t>
  </si>
  <si>
    <t xml:space="preserve">Pillar legend</t>
  </si>
  <si>
    <t xml:space="preserve">P1 Deployment Velocity · P2 Operational Stability · P3 Workload Performance · P4 Channel &amp; Partner Health · P5 Expansion Readiness. (Names vary by vertical — defaults shown are DC2_S.)</t>
  </si>
  <si>
    <t xml:space="preserve">KPI tier</t>
  </si>
  <si>
    <t xml:space="preserve">Default = Predictive 11 (11 KPIs across the 5 pillars). Pick Starter 9 for early-stage customers, or Full 43 for mature data programs.</t>
  </si>
  <si>
    <t xml:space="preserve">Default rule</t>
  </si>
  <si>
    <t xml:space="preserve">If a stakeholder cannot answer, use the platform default and flag it in the Notes column. Do not invent.</t>
  </si>
  <si>
    <t xml:space="preserve">Sign-off</t>
  </si>
  <si>
    <t xml:space="preserve">When all 5 tabs are filled and Consolidation has no red flags, the engagement lead countersigns and onboarding moves to the 4-CSV upload.</t>
  </si>
  <si>
    <t xml:space="preserve">Version 1.0 · May 2026 · Internal — NDA covered</t>
  </si>
  <si>
    <t xml:space="preserve">CRO — Chief Revenue Officer</t>
  </si>
  <si>
    <t xml:space="preserve">Owner of forward revenue. Cares about: NRR forecast, revenue at risk, expansion pipeline, account-level explainability.</t>
  </si>
  <si>
    <t xml:space="preserve">A. Stakeholder identity</t>
  </si>
  <si>
    <t xml:space="preserve">Field</t>
  </si>
  <si>
    <t xml:space="preserve">Answer (your input)</t>
  </si>
  <si>
    <t xml:space="preserve">Notes</t>
  </si>
  <si>
    <t xml:space="preserve">Default / hint</t>
  </si>
  <si>
    <t xml:space="preserve">Required?</t>
  </si>
  <si>
    <t xml:space="preserve">Source / system</t>
  </si>
  <si>
    <t xml:space="preserve">Full name</t>
  </si>
  <si>
    <t xml:space="preserve">Y</t>
  </si>
  <si>
    <t xml:space="preserve">Title</t>
  </si>
  <si>
    <t xml:space="preserve">CRO</t>
  </si>
  <si>
    <t xml:space="preserve">Email</t>
  </si>
  <si>
    <t xml:space="preserve">Time zone</t>
  </si>
  <si>
    <t xml:space="preserve">PT / ET / CET / IST</t>
  </si>
  <si>
    <t xml:space="preserve">Years in role</t>
  </si>
  <si>
    <t xml:space="preserve">0-30</t>
  </si>
  <si>
    <t xml:space="preserve">N</t>
  </si>
  <si>
    <t xml:space="preserve">Reports to</t>
  </si>
  <si>
    <t xml:space="preserve">B. Top 5 pain points (rank 1=worst, 5=mildly annoying)</t>
  </si>
  <si>
    <t xml:space="preserve">Rank</t>
  </si>
  <si>
    <t xml:space="preserve">Pain point</t>
  </si>
  <si>
    <t xml:space="preserve">Frequency (daily/weekly/monthly)</t>
  </si>
  <si>
    <t xml:space="preserve">Cost if unsolved</t>
  </si>
  <si>
    <t xml:space="preserve">Severity (1-5)</t>
  </si>
  <si>
    <t xml:space="preserve">Owner today</t>
  </si>
  <si>
    <t xml:space="preserve">C. Current KPIs you track today</t>
  </si>
  <si>
    <t xml:space="preserve">KPI name</t>
  </si>
  <si>
    <t xml:space="preserve">Source system</t>
  </si>
  <si>
    <t xml:space="preserve">Frequency</t>
  </si>
  <si>
    <t xml:space="preserve">Owner</t>
  </si>
  <si>
    <t xml:space="preserve">Is this in CS Pulse today? (Y/N)</t>
  </si>
  <si>
    <t xml:space="preserve">NRR (gross / net)</t>
  </si>
  <si>
    <t xml:space="preserve">Logo retention</t>
  </si>
  <si>
    <t xml:space="preserve">Pipeline coverage on renewals</t>
  </si>
  <si>
    <t xml:space="preserve">Expansion bookings</t>
  </si>
  <si>
    <t xml:space="preserve">At-risk ARR</t>
  </si>
  <si>
    <t xml:space="preserve">Churn $</t>
  </si>
  <si>
    <t xml:space="preserve">Time to first value</t>
  </si>
  <si>
    <t xml:space="preserve">D. Pillar weight allocation (your view) — must sum to 100%</t>
  </si>
  <si>
    <t xml:space="preserve">Pillar</t>
  </si>
  <si>
    <t xml:space="preserve">Your weight %</t>
  </si>
  <si>
    <t xml:space="preserve">Platform default %</t>
  </si>
  <si>
    <t xml:space="preserve">Delta</t>
  </si>
  <si>
    <t xml:space="preserve">Justification</t>
  </si>
  <si>
    <t xml:space="preserve">P1 Deployment Velocity</t>
  </si>
  <si>
    <t xml:space="preserve">P2 Operational Stability</t>
  </si>
  <si>
    <t xml:space="preserve">P3 Workload Performance</t>
  </si>
  <si>
    <t xml:space="preserve">P4 Channel &amp; Partner Health</t>
  </si>
  <si>
    <t xml:space="preserve">P5 Expansion Readiness</t>
  </si>
  <si>
    <t xml:space="preserve">Sum (must = 100%)</t>
  </si>
  <si>
    <t xml:space="preserve">E. Signal sources (where does the customer hear about risk / expansion today?)</t>
  </si>
  <si>
    <t xml:space="preserve">Channel type</t>
  </si>
  <si>
    <t xml:space="preserve">Identifier (channel / alias / tool)</t>
  </si>
  <si>
    <t xml:space="preserve">Who monitors it?</t>
  </si>
  <si>
    <t xml:space="preserve">Wire to CS Pulse? (Y/N)</t>
  </si>
  <si>
    <t xml:space="preserve">Slack channel(s)</t>
  </si>
  <si>
    <t xml:space="preserve">e.g. #cs-acme</t>
  </si>
  <si>
    <t xml:space="preserve">Shared email alias</t>
  </si>
  <si>
    <t xml:space="preserve">e.g. cs-team@...</t>
  </si>
  <si>
    <t xml:space="preserve">Call transcript tool</t>
  </si>
  <si>
    <t xml:space="preserve">Gong / Chorus / Zoom</t>
  </si>
  <si>
    <t xml:space="preserve">CRM events</t>
  </si>
  <si>
    <t xml:space="preserve">Salesforce / HubSpot</t>
  </si>
  <si>
    <t xml:space="preserve">Support tickets</t>
  </si>
  <si>
    <t xml:space="preserve">Zendesk / ServiceNow</t>
  </si>
  <si>
    <t xml:space="preserve">Other</t>
  </si>
  <si>
    <t xml:space="preserve">F. Persona-eval questions — how would you score the platform today? (0=no, 1=partial, 2=yes)</t>
  </si>
  <si>
    <t xml:space="preserve">#</t>
  </si>
  <si>
    <t xml:space="preserve">Question</t>
  </si>
  <si>
    <t xml:space="preserve">Score (0/1/2)</t>
  </si>
  <si>
    <t xml:space="preserve">Today's gap</t>
  </si>
  <si>
    <t xml:space="preserve">Priority (1=top)</t>
  </si>
  <si>
    <t xml:space="preserve">Owner to close</t>
  </si>
  <si>
    <t xml:space="preserve">Can I see total revenue at risk in the next quarter, by account, in under 10 seconds?</t>
  </si>
  <si>
    <t xml:space="preserve">When the NRR forecast moves, can I see which accounts moved it and why?</t>
  </si>
  <si>
    <t xml:space="preserve">Are the top 3 expansion opportunities ranked by dollars and confidence, not vibes?</t>
  </si>
  <si>
    <t xml:space="preserve">Can I trust the forecast — is the methodology defensible to my board?</t>
  </si>
  <si>
    <t xml:space="preserve">Does the dashboard tell me which CSM owns each at-risk account?</t>
  </si>
  <si>
    <t xml:space="preserve">When an account flips from healthy to at-risk, do I get an alert with the trigger?</t>
  </si>
  <si>
    <t xml:space="preserve">Can I compare this quarter's risk against last quarter and last year?</t>
  </si>
  <si>
    <t xml:space="preserve">Does the dashboard show the confidence interval on the NRR forecast?</t>
  </si>
  <si>
    <t xml:space="preserve">Can I drill from portfolio rollup down to a single account in two clicks?</t>
  </si>
  <si>
    <t xml:space="preserve">Is the revenue-at-risk number reconcile-able to the CRM?</t>
  </si>
  <si>
    <t xml:space="preserve">Total</t>
  </si>
  <si>
    <t xml:space="preserve">Pass = 16 / 20</t>
  </si>
  <si>
    <t xml:space="preserve">G. Success outcomes — what does winning look like?</t>
  </si>
  <si>
    <t xml:space="preserve">Horizon</t>
  </si>
  <si>
    <t xml:space="preserve">Outcome (measurable)</t>
  </si>
  <si>
    <t xml:space="preserve">Target value</t>
  </si>
  <si>
    <t xml:space="preserve">Source of truth</t>
  </si>
  <si>
    <t xml:space="preserve">Who reports it?</t>
  </si>
  <si>
    <t xml:space="preserve">30 days</t>
  </si>
  <si>
    <t xml:space="preserve">90 days</t>
  </si>
  <si>
    <t xml:space="preserve">12 months</t>
  </si>
  <si>
    <t xml:space="preserve">H. Decision cadence + cross-functional</t>
  </si>
  <si>
    <t xml:space="preserve">Answer</t>
  </si>
  <si>
    <t xml:space="preserve">Stakeholders</t>
  </si>
  <si>
    <t xml:space="preserve">Tool / forum</t>
  </si>
  <si>
    <t xml:space="preserve">When do you make decisions based on this data?</t>
  </si>
  <si>
    <t xml:space="preserve">Who else sees these numbers with you?</t>
  </si>
  <si>
    <t xml:space="preserve">What is your current dashboard / tool of record?</t>
  </si>
  <si>
    <t xml:space="preserve">What format do you need the data in for executives?</t>
  </si>
  <si>
    <t xml:space="preserve">Where do KPI definitions get debated?</t>
  </si>
  <si>
    <t xml:space="preserve">-- internal anchors (do not edit) --</t>
  </si>
  <si>
    <t xml:space="preserve">pillar_sum_row</t>
  </si>
  <si>
    <t xml:space="preserve">eval_total_row</t>
  </si>
  <si>
    <t xml:space="preserve">CFO — Chief Financial Officer</t>
  </si>
  <si>
    <t xml:space="preserve">Owner of ROI proof. Cares about: every dollar of CS investment is justified, attribution is traceable, audit trail is defensible.</t>
  </si>
  <si>
    <t xml:space="preserve">CFO</t>
  </si>
  <si>
    <t xml:space="preserve">CS cost as % of ARR</t>
  </si>
  <si>
    <t xml:space="preserve">Revenue Protected $</t>
  </si>
  <si>
    <t xml:space="preserve">Realized ROI x</t>
  </si>
  <si>
    <t xml:space="preserve">CAC payback</t>
  </si>
  <si>
    <t xml:space="preserve">Gross margin on CS-touched accounts</t>
  </si>
  <si>
    <t xml:space="preserve">CS budget vs. plan</t>
  </si>
  <si>
    <t xml:space="preserve">Can I prove the ROI of CS investment with a number my auditor will accept?</t>
  </si>
  <si>
    <t xml:space="preserve">Is every Revenue Protected dollar traceable to a specific playbook that ran?</t>
  </si>
  <si>
    <t xml:space="preserve">Does CS investment scale with ARR — what's the budget rationale at 2x revenue?</t>
  </si>
  <si>
    <t xml:space="preserve">Are the headline numbers (Revenue Protected, Realized ROI) reconcile-able to GL?</t>
  </si>
  <si>
    <t xml:space="preserve">Does the audit trail show every assumption behind the ROI claim?</t>
  </si>
  <si>
    <t xml:space="preserve">Can I see CS investment broken down by playbook category?</t>
  </si>
  <si>
    <t xml:space="preserve">Is the Power-of-1 lift assumption disclosed and bounded?</t>
  </si>
  <si>
    <t xml:space="preserve">Does the dashboard distinguish realized vs forecasted dollars?</t>
  </si>
  <si>
    <t xml:space="preserve">Can I export the ROI calculation for board materials?</t>
  </si>
  <si>
    <t xml:space="preserve">Are model confidence intervals visible where they matter?</t>
  </si>
  <si>
    <t xml:space="preserve">CEO — Chief Executive Officer</t>
  </si>
  <si>
    <t xml:space="preserve">Owner of the portfolio rollup. Cares about: one screen, every portfolio company, board-ready summary numbers.</t>
  </si>
  <si>
    <t xml:space="preserve">CEO</t>
  </si>
  <si>
    <t xml:space="preserve">Portfolio-weighted NRR</t>
  </si>
  <si>
    <t xml:space="preserve">Top 5 at-risk accounts $</t>
  </si>
  <si>
    <t xml:space="preserve">ARR by segment</t>
  </si>
  <si>
    <t xml:space="preserve">Growth rate</t>
  </si>
  <si>
    <t xml:space="preserve">Customer concentration</t>
  </si>
  <si>
    <t xml:space="preserve">Board-ready exec summary</t>
  </si>
  <si>
    <t xml:space="preserve">Per-BU CS investment</t>
  </si>
  <si>
    <t xml:space="preserve">Can I see one screen with every business unit / portfolio company's health?</t>
  </si>
  <si>
    <t xml:space="preserve">Are the headline numbers on this screen the same numbers I will quote to the board?</t>
  </si>
  <si>
    <t xml:space="preserve">Can I sort the portfolio by NRR forecast, risk concentration, or growth?</t>
  </si>
  <si>
    <t xml:space="preserve">Does the dashboard flag the 2 or 3 things that need my attention this week?</t>
  </si>
  <si>
    <t xml:space="preserve">Can I see cross-customer / cross-BU comparison without exporting to Excel?</t>
  </si>
  <si>
    <t xml:space="preserve">Is the rollup methodology disclosed (revenue-weighted vs. simple avg)?</t>
  </si>
  <si>
    <t xml:space="preserve">Are the underlying assumptions (NRR ranges, risk thresholds) settable from this screen?</t>
  </si>
  <si>
    <t xml:space="preserve">Does each portfolio company link to its own full dashboard in one click?</t>
  </si>
  <si>
    <t xml:space="preserve">Is there a quarterly trend view I can take into the QBR?</t>
  </si>
  <si>
    <t xml:space="preserve">Are governance and AI-DD disclosures available on demand?</t>
  </si>
  <si>
    <t xml:space="preserve">VP CS — VP of Customer Success</t>
  </si>
  <si>
    <t xml:space="preserve">Owner of the CS function. Cares about: team capacity, CSM performance, playbook execution rate, weekly business review readiness.</t>
  </si>
  <si>
    <t xml:space="preserve">VP CS</t>
  </si>
  <si>
    <t xml:space="preserve">Accounts per CSM</t>
  </si>
  <si>
    <t xml:space="preserve">Playbook execution rate %</t>
  </si>
  <si>
    <t xml:space="preserve">Playbook success rate %</t>
  </si>
  <si>
    <t xml:space="preserve">QBR completion rate</t>
  </si>
  <si>
    <t xml:space="preserve">CSM-to-revenue ratio</t>
  </si>
  <si>
    <t xml:space="preserve">Average response time to risk signal</t>
  </si>
  <si>
    <t xml:space="preserve">Team capacity index</t>
  </si>
  <si>
    <t xml:space="preserve">Can I see CSM-by-CSM performance and book of business in one view?</t>
  </si>
  <si>
    <t xml:space="preserve">Does the dashboard tell me which CSMs are overloaded vs. under capacity?</t>
  </si>
  <si>
    <t xml:space="preserve">Are playbook execution rates trended week over week?</t>
  </si>
  <si>
    <t xml:space="preserve">Can I see which playbooks are succeeding vs. failing, with attribution?</t>
  </si>
  <si>
    <t xml:space="preserve">Does the dashboard surface accounts that have no recent activity?</t>
  </si>
  <si>
    <t xml:space="preserve">Are CSM rankings transparent and explainable?</t>
  </si>
  <si>
    <t xml:space="preserve">Can I run a weekly business review straight from this dashboard?</t>
  </si>
  <si>
    <t xml:space="preserve">Does the system flag CSM coaching opportunities (where playbooks failed)?</t>
  </si>
  <si>
    <t xml:space="preserve">Can I see team capacity vs. account count and adjust assignments?</t>
  </si>
  <si>
    <t xml:space="preserve">Are CSM success metrics tied to actual revenue outcomes, not activity vanity?</t>
  </si>
  <si>
    <t xml:space="preserve">CSM — Customer Success Manager</t>
  </si>
  <si>
    <t xml:space="preserve">Owner of the daily account work. Cares about: today's Kanban, what to do next, signal triage, time-to-next-action.</t>
  </si>
  <si>
    <t xml:space="preserve">CSM</t>
  </si>
  <si>
    <t xml:space="preserve">Accounts with overdue follow-up</t>
  </si>
  <si>
    <t xml:space="preserve">Open playbook count</t>
  </si>
  <si>
    <t xml:space="preserve">Win rate on assigned playbooks</t>
  </si>
  <si>
    <t xml:space="preserve">Avg time to first response on risk signal</t>
  </si>
  <si>
    <t xml:space="preserve">QBR completion this quarter</t>
  </si>
  <si>
    <t xml:space="preserve">NPS / sentiment for owned accounts</t>
  </si>
  <si>
    <t xml:space="preserve">When I log in, does the dashboard tell me what to do today, in priority order?</t>
  </si>
  <si>
    <t xml:space="preserve">Is the Kanban split clearly into FIRE / THIS WEEK / OPPORTUNITIES?</t>
  </si>
  <si>
    <t xml:space="preserve">For each at-risk account, does the system suggest a specific playbook?</t>
  </si>
  <si>
    <t xml:space="preserve">Can I see signal triage (Slack mentions, CRM events) for my accounts in one feed?</t>
  </si>
  <si>
    <t xml:space="preserve">Does the system tell me which accounts I haven't touched in N days?</t>
  </si>
  <si>
    <t xml:space="preserve">Can I close a playbook with one click and have the outcome flow upstream?</t>
  </si>
  <si>
    <t xml:space="preserve">Are recommended actions specific ("call sponsor") not vague ("engage")?</t>
  </si>
  <si>
    <t xml:space="preserve">Can I drag accounts across Kanban columns and have the system remember?</t>
  </si>
  <si>
    <t xml:space="preserve">Does the system give me a per-account talk track for the next call?</t>
  </si>
  <si>
    <t xml:space="preserve">Can I see my own success metrics without my manager telling me?</t>
  </si>
  <si>
    <t xml:space="preserve">Consolidation — cross-persona rollup + CustomerConfig export</t>
  </si>
  <si>
    <t xml:space="preserve">Green cells pull live from persona tabs. Black cells are formulas. Red flags = conflict beyond tolerance.</t>
  </si>
  <si>
    <t xml:space="preserve">1. Pillar weight comparison (per-persona)</t>
  </si>
  <si>
    <t xml:space="preserve">VPCS</t>
  </si>
  <si>
    <t xml:space="preserve">Mean (recommended)</t>
  </si>
  <si>
    <t xml:space="preserve">Range (max - min)</t>
  </si>
  <si>
    <t xml:space="preserve">Sum check (each column should = 100%)</t>
  </si>
  <si>
    <t xml:space="preserve">2. Conflict flags (range &gt; 10pp on any pillar = red)</t>
  </si>
  <si>
    <t xml:space="preserve">Range</t>
  </si>
  <si>
    <t xml:space="preserve">Status</t>
  </si>
  <si>
    <t xml:space="preserve">Action</t>
  </si>
  <si>
    <t xml:space="preserve">3. Persona-eval scoreboard</t>
  </si>
  <si>
    <t xml:space="preserve">Persona</t>
  </si>
  <si>
    <t xml:space="preserve">Score (0-20)</t>
  </si>
  <si>
    <t xml:space="preserve">Threshold</t>
  </si>
  <si>
    <t xml:space="preserve">Pass?</t>
  </si>
  <si>
    <t xml:space="preserve">Gap to fix first</t>
  </si>
  <si>
    <t xml:space="preserve">Portfolio total</t>
  </si>
  <si>
    <t xml:space="preserve">4. CustomerConfig export — paste-ready for create_customer / configure_customer_kpis</t>
  </si>
  <si>
    <t xml:space="preserve">CustomerConfig field</t>
  </si>
  <si>
    <t xml:space="preserve">Value to write</t>
  </si>
  <si>
    <t xml:space="preserve">Source</t>
  </si>
  <si>
    <t xml:space="preserve">dc2s_pillar_weights.P1</t>
  </si>
  <si>
    <t xml:space="preserve">Mean of 5 personas (section 1)</t>
  </si>
  <si>
    <t xml:space="preserve">JSON key P1</t>
  </si>
  <si>
    <t xml:space="preserve">dc2s_pillar_weights.P2</t>
  </si>
  <si>
    <t xml:space="preserve">JSON key P2</t>
  </si>
  <si>
    <t xml:space="preserve">dc2s_pillar_weights.P3</t>
  </si>
  <si>
    <t xml:space="preserve">JSON key P3</t>
  </si>
  <si>
    <t xml:space="preserve">dc2s_pillar_weights.P4</t>
  </si>
  <si>
    <t xml:space="preserve">JSON key P4</t>
  </si>
  <si>
    <t xml:space="preserve">dc2s_pillar_weights.P5</t>
  </si>
  <si>
    <t xml:space="preserve">JSON key P5</t>
  </si>
  <si>
    <t xml:space="preserve">kpi_tier</t>
  </si>
  <si>
    <t xml:space="preserve">Predictive 11</t>
  </si>
  <si>
    <t xml:space="preserve">Default</t>
  </si>
  <si>
    <t xml:space="preserve">Override to Starter 9 or Full 43 if customer asks</t>
  </si>
  <si>
    <t xml:space="preserve">vertical</t>
  </si>
  <si>
    <t xml:space="preserve">DC2_S</t>
  </si>
  <si>
    <t xml:space="preserve">Set per engagement</t>
  </si>
  <si>
    <t xml:space="preserve">signal_channels</t>
  </si>
  <si>
    <t xml:space="preserve">See section 5</t>
  </si>
  <si>
    <t xml:space="preserve">Per-persona signal sources rolled up</t>
  </si>
  <si>
    <t xml:space="preserve">Free-form list, deduped</t>
  </si>
  <si>
    <t xml:space="preserve">playbook_overlays</t>
  </si>
  <si>
    <t xml:space="preserve">See engagement-specific overlay folder</t>
  </si>
  <si>
    <t xml:space="preserve">FDE authored</t>
  </si>
  <si>
    <t xml:space="preserve">verticals/customer{N}/config/playbook_overlays.json</t>
  </si>
  <si>
    <t xml:space="preserve">5. Signal channels rolled up — wire into signal_channels.json</t>
  </si>
  <si>
    <t xml:space="preserve">Wire? (Y/N)</t>
  </si>
  <si>
    <t xml:space="preserve">FDE notes</t>
  </si>
  <si>
    <t xml:space="preserve">6. Sign-off</t>
  </si>
  <si>
    <t xml:space="preserve">Role</t>
  </si>
  <si>
    <t xml:space="preserve">Name</t>
  </si>
  <si>
    <t xml:space="preserve">Date</t>
  </si>
  <si>
    <t xml:space="preserve">Signature / approval</t>
  </si>
  <si>
    <t xml:space="preserve">FDE (engagement lead)</t>
  </si>
  <si>
    <t xml:space="preserve">Customer executive sponsor</t>
  </si>
  <si>
    <t xml:space="preserve">CS Pulse customer engagement lead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</si>
</sst>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+0.0%;\-0.0%;\-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5F8F"/>
        <bgColor rgb="FF1F3A5F"/>
      </patternFill>
    </fill>
    <fill>
      <patternFill patternType="solid">
        <fgColor rgb="FF1F3A5F"/>
        <bgColor rgb="FF333333"/>
      </patternFill>
    </fill>
    <fill>
      <patternFill patternType="solid">
        <fgColor rgb="FFFFF59D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2F2F2"/>
      <rgbColor rgb="FFCCFFFF"/>
      <rgbColor rgb="FF660066"/>
      <rgbColor rgb="FFFF8080"/>
      <rgbColor rgb="FF2E5F8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42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55.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27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27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27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27.7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27.7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27.7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27.7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42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27.7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27.7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5" customFormat="false" ht="27.75" hidden="false" customHeight="true" outlineLevel="0" collapsed="false">
      <c r="A15" s="2" t="s">
        <v>25</v>
      </c>
      <c r="B15" s="3" t="s">
        <v>26</v>
      </c>
      <c r="C15" s="3"/>
      <c r="D15" s="3"/>
      <c r="E15" s="3"/>
      <c r="F15" s="3"/>
    </row>
    <row r="17" customFormat="false" ht="15" hidden="false" customHeight="false" outlineLevel="0" collapsed="false">
      <c r="A17" s="4" t="s">
        <v>27</v>
      </c>
    </row>
  </sheetData>
  <mergeCells count="14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5" t="s">
        <v>29</v>
      </c>
      <c r="B2" s="5"/>
      <c r="C2" s="5"/>
      <c r="D2" s="5"/>
      <c r="E2" s="5"/>
      <c r="F2" s="5"/>
    </row>
    <row r="4" customFormat="false" ht="19.5" hidden="false" customHeight="true" outlineLevel="0" collapsed="false">
      <c r="A4" s="6" t="s">
        <v>30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15" hidden="false" customHeight="false" outlineLevel="0" collapsed="false">
      <c r="A6" s="2" t="s">
        <v>37</v>
      </c>
      <c r="B6" s="8"/>
      <c r="C6" s="9"/>
      <c r="D6" s="10"/>
      <c r="E6" s="11" t="s">
        <v>38</v>
      </c>
      <c r="F6" s="9"/>
    </row>
    <row r="7" customFormat="false" ht="15" hidden="false" customHeight="false" outlineLevel="0" collapsed="false">
      <c r="A7" s="2" t="s">
        <v>39</v>
      </c>
      <c r="B7" s="8"/>
      <c r="C7" s="9"/>
      <c r="D7" s="10" t="s">
        <v>40</v>
      </c>
      <c r="E7" s="11" t="s">
        <v>38</v>
      </c>
      <c r="F7" s="9"/>
    </row>
    <row r="8" customFormat="false" ht="15" hidden="false" customHeight="false" outlineLevel="0" collapsed="false">
      <c r="A8" s="2" t="s">
        <v>41</v>
      </c>
      <c r="B8" s="8"/>
      <c r="C8" s="9"/>
      <c r="D8" s="10"/>
      <c r="E8" s="11" t="s">
        <v>38</v>
      </c>
      <c r="F8" s="9"/>
    </row>
    <row r="9" customFormat="false" ht="15" hidden="false" customHeight="false" outlineLevel="0" collapsed="false">
      <c r="A9" s="2" t="s">
        <v>42</v>
      </c>
      <c r="B9" s="8"/>
      <c r="C9" s="9"/>
      <c r="D9" s="10" t="s">
        <v>43</v>
      </c>
      <c r="E9" s="11" t="s">
        <v>38</v>
      </c>
      <c r="F9" s="9"/>
    </row>
    <row r="10" customFormat="false" ht="15" hidden="false" customHeight="false" outlineLevel="0" collapsed="false">
      <c r="A10" s="2" t="s">
        <v>44</v>
      </c>
      <c r="B10" s="9"/>
      <c r="C10" s="9"/>
      <c r="D10" s="10" t="s">
        <v>45</v>
      </c>
      <c r="E10" s="11" t="s">
        <v>46</v>
      </c>
      <c r="F10" s="9"/>
    </row>
    <row r="11" customFormat="false" ht="15" hidden="false" customHeight="false" outlineLevel="0" collapsed="false">
      <c r="A11" s="2" t="s">
        <v>47</v>
      </c>
      <c r="B11" s="9"/>
      <c r="C11" s="9"/>
      <c r="D11" s="10"/>
      <c r="E11" s="11" t="s">
        <v>46</v>
      </c>
      <c r="F11" s="9"/>
    </row>
    <row r="13" customFormat="false" ht="19.5" hidden="false" customHeight="true" outlineLevel="0" collapsed="false">
      <c r="A13" s="6" t="s">
        <v>48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1" t="n">
        <v>1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1" t="n">
        <v>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1" t="n">
        <v>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n">
        <v>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1" t="n">
        <v>5</v>
      </c>
      <c r="B19" s="9"/>
      <c r="C19" s="9"/>
      <c r="D19" s="9"/>
      <c r="E19" s="9"/>
      <c r="F19" s="9"/>
    </row>
    <row r="21" customFormat="false" ht="19.5" hidden="false" customHeight="true" outlineLevel="0" collapsed="false">
      <c r="A21" s="6" t="s">
        <v>55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56</v>
      </c>
      <c r="B22" s="7" t="s">
        <v>57</v>
      </c>
      <c r="C22" s="7" t="s">
        <v>58</v>
      </c>
      <c r="D22" s="7" t="s">
        <v>59</v>
      </c>
      <c r="E22" s="7" t="s">
        <v>60</v>
      </c>
      <c r="F22" s="7" t="s">
        <v>33</v>
      </c>
    </row>
    <row r="23" customFormat="false" ht="15" hidden="false" customHeight="false" outlineLevel="0" collapsed="false">
      <c r="A23" s="9" t="s">
        <v>61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9" t="s">
        <v>62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63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9" t="s">
        <v>64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65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66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 t="s">
        <v>67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2" customFormat="false" ht="19.5" hidden="false" customHeight="true" outlineLevel="0" collapsed="false">
      <c r="A32" s="6" t="s">
        <v>68</v>
      </c>
      <c r="B32" s="6"/>
      <c r="C32" s="6"/>
      <c r="D32" s="6"/>
      <c r="E32" s="6"/>
      <c r="F32" s="6"/>
    </row>
    <row r="33" customFormat="false" ht="27.75" hidden="false" customHeight="true" outlineLevel="0" collapsed="false">
      <c r="A33" s="7" t="s">
        <v>69</v>
      </c>
      <c r="B33" s="7" t="s">
        <v>70</v>
      </c>
      <c r="C33" s="7" t="s">
        <v>71</v>
      </c>
      <c r="D33" s="7" t="s">
        <v>72</v>
      </c>
      <c r="E33" s="7" t="s">
        <v>73</v>
      </c>
      <c r="F33" s="7"/>
    </row>
    <row r="34" customFormat="false" ht="15" hidden="false" customHeight="false" outlineLevel="0" collapsed="false">
      <c r="A34" s="12" t="s">
        <v>74</v>
      </c>
      <c r="B34" s="13"/>
      <c r="C34" s="14" t="n">
        <v>0.15</v>
      </c>
      <c r="D34" s="15" t="n">
        <f aca="false">IFERROR(B34-C34,0)</f>
        <v>-0.15</v>
      </c>
      <c r="E34" s="9"/>
      <c r="F34" s="16"/>
    </row>
    <row r="35" customFormat="false" ht="15" hidden="false" customHeight="false" outlineLevel="0" collapsed="false">
      <c r="A35" s="12" t="s">
        <v>75</v>
      </c>
      <c r="B35" s="13"/>
      <c r="C35" s="14" t="n">
        <v>0.2</v>
      </c>
      <c r="D35" s="15" t="n">
        <f aca="false">IFERROR(B35-C35,0)</f>
        <v>-0.2</v>
      </c>
      <c r="E35" s="9"/>
      <c r="F35" s="16"/>
    </row>
    <row r="36" customFormat="false" ht="15" hidden="false" customHeight="false" outlineLevel="0" collapsed="false">
      <c r="A36" s="12" t="s">
        <v>76</v>
      </c>
      <c r="B36" s="13"/>
      <c r="C36" s="14" t="n">
        <v>0.25</v>
      </c>
      <c r="D36" s="15" t="n">
        <f aca="false">IFERROR(B36-C36,0)</f>
        <v>-0.25</v>
      </c>
      <c r="E36" s="9"/>
      <c r="F36" s="16"/>
    </row>
    <row r="37" customFormat="false" ht="15" hidden="false" customHeight="false" outlineLevel="0" collapsed="false">
      <c r="A37" s="12" t="s">
        <v>77</v>
      </c>
      <c r="B37" s="13"/>
      <c r="C37" s="14" t="n">
        <v>0.15</v>
      </c>
      <c r="D37" s="15" t="n">
        <f aca="false">IFERROR(B37-C37,0)</f>
        <v>-0.15</v>
      </c>
      <c r="E37" s="9"/>
      <c r="F37" s="16"/>
    </row>
    <row r="38" customFormat="false" ht="15" hidden="false" customHeight="false" outlineLevel="0" collapsed="false">
      <c r="A38" s="12" t="s">
        <v>78</v>
      </c>
      <c r="B38" s="13"/>
      <c r="C38" s="14" t="n">
        <v>0.25</v>
      </c>
      <c r="D38" s="15" t="n">
        <f aca="false">IFERROR(B38-C38,0)</f>
        <v>-0.25</v>
      </c>
      <c r="E38" s="9"/>
      <c r="F38" s="16"/>
    </row>
    <row r="39" customFormat="false" ht="15" hidden="false" customHeight="false" outlineLevel="0" collapsed="false">
      <c r="A39" s="17" t="s">
        <v>79</v>
      </c>
      <c r="B39" s="18" t="n">
        <f aca="false">SUM(B34:B38)</f>
        <v>0</v>
      </c>
      <c r="D39" s="19" t="str">
        <f aca="false">IF(ABS(B39-1)&lt;0.001,"OK","Adjust — must total 100%")</f>
        <v>Adjust — must total 100%</v>
      </c>
    </row>
    <row r="41" customFormat="false" ht="19.5" hidden="false" customHeight="true" outlineLevel="0" collapsed="false">
      <c r="A41" s="6" t="s">
        <v>80</v>
      </c>
      <c r="B41" s="6"/>
      <c r="C41" s="6"/>
      <c r="D41" s="6"/>
      <c r="E41" s="6"/>
      <c r="F41" s="6"/>
    </row>
    <row r="42" customFormat="false" ht="27.75" hidden="false" customHeight="true" outlineLevel="0" collapsed="false">
      <c r="A42" s="7" t="s">
        <v>81</v>
      </c>
      <c r="B42" s="7" t="s">
        <v>82</v>
      </c>
      <c r="C42" s="7" t="s">
        <v>58</v>
      </c>
      <c r="D42" s="7" t="s">
        <v>83</v>
      </c>
      <c r="E42" s="7" t="s">
        <v>84</v>
      </c>
      <c r="F42" s="7" t="s">
        <v>33</v>
      </c>
    </row>
    <row r="43" customFormat="false" ht="15" hidden="false" customHeight="false" outlineLevel="0" collapsed="false">
      <c r="A43" s="12" t="s">
        <v>85</v>
      </c>
      <c r="B43" s="9"/>
      <c r="C43" s="9"/>
      <c r="D43" s="9"/>
      <c r="E43" s="9"/>
      <c r="F43" s="10" t="s">
        <v>86</v>
      </c>
    </row>
    <row r="44" customFormat="false" ht="15" hidden="false" customHeight="false" outlineLevel="0" collapsed="false">
      <c r="A44" s="12" t="s">
        <v>87</v>
      </c>
      <c r="B44" s="9"/>
      <c r="C44" s="9"/>
      <c r="D44" s="9"/>
      <c r="E44" s="9"/>
      <c r="F44" s="10" t="s">
        <v>88</v>
      </c>
    </row>
    <row r="45" customFormat="false" ht="15" hidden="false" customHeight="false" outlineLevel="0" collapsed="false">
      <c r="A45" s="12" t="s">
        <v>89</v>
      </c>
      <c r="B45" s="9"/>
      <c r="C45" s="9"/>
      <c r="D45" s="9"/>
      <c r="E45" s="9"/>
      <c r="F45" s="10" t="s">
        <v>90</v>
      </c>
    </row>
    <row r="46" customFormat="false" ht="15" hidden="false" customHeight="false" outlineLevel="0" collapsed="false">
      <c r="A46" s="12" t="s">
        <v>91</v>
      </c>
      <c r="B46" s="9"/>
      <c r="C46" s="9"/>
      <c r="D46" s="9"/>
      <c r="E46" s="9"/>
      <c r="F46" s="10" t="s">
        <v>92</v>
      </c>
    </row>
    <row r="47" customFormat="false" ht="15" hidden="false" customHeight="false" outlineLevel="0" collapsed="false">
      <c r="A47" s="12" t="s">
        <v>93</v>
      </c>
      <c r="B47" s="9"/>
      <c r="C47" s="9"/>
      <c r="D47" s="9"/>
      <c r="E47" s="9"/>
      <c r="F47" s="10" t="s">
        <v>94</v>
      </c>
    </row>
    <row r="48" customFormat="false" ht="15" hidden="false" customHeight="false" outlineLevel="0" collapsed="false">
      <c r="A48" s="12" t="s">
        <v>95</v>
      </c>
      <c r="B48" s="9"/>
      <c r="C48" s="9"/>
      <c r="D48" s="9"/>
      <c r="E48" s="9"/>
      <c r="F48" s="10"/>
    </row>
    <row r="50" customFormat="false" ht="19.5" hidden="false" customHeight="true" outlineLevel="0" collapsed="false">
      <c r="A50" s="6" t="s">
        <v>96</v>
      </c>
      <c r="B50" s="6"/>
      <c r="C50" s="6"/>
      <c r="D50" s="6"/>
      <c r="E50" s="6"/>
      <c r="F50" s="6"/>
    </row>
    <row r="51" customFormat="false" ht="27.75" hidden="false" customHeight="true" outlineLevel="0" collapsed="false">
      <c r="A51" s="7" t="s">
        <v>97</v>
      </c>
      <c r="B51" s="7" t="s">
        <v>98</v>
      </c>
      <c r="C51" s="7" t="s">
        <v>99</v>
      </c>
      <c r="D51" s="7" t="s">
        <v>100</v>
      </c>
      <c r="E51" s="7" t="s">
        <v>101</v>
      </c>
      <c r="F51" s="7" t="s">
        <v>102</v>
      </c>
    </row>
    <row r="52" customFormat="false" ht="35.05" hidden="false" customHeight="false" outlineLevel="0" collapsed="false">
      <c r="A52" s="11" t="n">
        <v>1</v>
      </c>
      <c r="B52" s="20" t="s">
        <v>103</v>
      </c>
      <c r="C52" s="21"/>
      <c r="D52" s="9"/>
      <c r="E52" s="22"/>
      <c r="F52" s="9"/>
    </row>
    <row r="53" customFormat="false" ht="35.05" hidden="false" customHeight="false" outlineLevel="0" collapsed="false">
      <c r="A53" s="11" t="n">
        <v>2</v>
      </c>
      <c r="B53" s="20" t="s">
        <v>104</v>
      </c>
      <c r="C53" s="21"/>
      <c r="D53" s="9"/>
      <c r="E53" s="22"/>
      <c r="F53" s="9"/>
    </row>
    <row r="54" customFormat="false" ht="35.05" hidden="false" customHeight="false" outlineLevel="0" collapsed="false">
      <c r="A54" s="11" t="n">
        <v>3</v>
      </c>
      <c r="B54" s="20" t="s">
        <v>105</v>
      </c>
      <c r="C54" s="21"/>
      <c r="D54" s="9"/>
      <c r="E54" s="22"/>
      <c r="F54" s="9"/>
    </row>
    <row r="55" customFormat="false" ht="35.05" hidden="false" customHeight="false" outlineLevel="0" collapsed="false">
      <c r="A55" s="11" t="n">
        <v>4</v>
      </c>
      <c r="B55" s="20" t="s">
        <v>106</v>
      </c>
      <c r="C55" s="21"/>
      <c r="D55" s="9"/>
      <c r="E55" s="22"/>
      <c r="F55" s="9"/>
    </row>
    <row r="56" customFormat="false" ht="23.85" hidden="false" customHeight="false" outlineLevel="0" collapsed="false">
      <c r="A56" s="11" t="n">
        <v>5</v>
      </c>
      <c r="B56" s="20" t="s">
        <v>107</v>
      </c>
      <c r="C56" s="21"/>
      <c r="D56" s="9"/>
      <c r="E56" s="22"/>
      <c r="F56" s="9"/>
    </row>
    <row r="57" customFormat="false" ht="35.05" hidden="false" customHeight="false" outlineLevel="0" collapsed="false">
      <c r="A57" s="11" t="n">
        <v>6</v>
      </c>
      <c r="B57" s="20" t="s">
        <v>108</v>
      </c>
      <c r="C57" s="21"/>
      <c r="D57" s="9"/>
      <c r="E57" s="22"/>
      <c r="F57" s="9"/>
    </row>
    <row r="58" customFormat="false" ht="23.85" hidden="false" customHeight="false" outlineLevel="0" collapsed="false">
      <c r="A58" s="11" t="n">
        <v>7</v>
      </c>
      <c r="B58" s="20" t="s">
        <v>109</v>
      </c>
      <c r="C58" s="21"/>
      <c r="D58" s="9"/>
      <c r="E58" s="22"/>
      <c r="F58" s="9"/>
    </row>
    <row r="59" customFormat="false" ht="35.05" hidden="false" customHeight="false" outlineLevel="0" collapsed="false">
      <c r="A59" s="11" t="n">
        <v>8</v>
      </c>
      <c r="B59" s="20" t="s">
        <v>110</v>
      </c>
      <c r="C59" s="21"/>
      <c r="D59" s="9"/>
      <c r="E59" s="22"/>
      <c r="F59" s="9"/>
    </row>
    <row r="60" customFormat="false" ht="23.85" hidden="false" customHeight="false" outlineLevel="0" collapsed="false">
      <c r="A60" s="11" t="n">
        <v>9</v>
      </c>
      <c r="B60" s="20" t="s">
        <v>111</v>
      </c>
      <c r="C60" s="21"/>
      <c r="D60" s="9"/>
      <c r="E60" s="22"/>
      <c r="F60" s="9"/>
    </row>
    <row r="61" customFormat="false" ht="23.85" hidden="false" customHeight="false" outlineLevel="0" collapsed="false">
      <c r="A61" s="11" t="n">
        <v>10</v>
      </c>
      <c r="B61" s="20" t="s">
        <v>112</v>
      </c>
      <c r="C61" s="21"/>
      <c r="D61" s="9"/>
      <c r="E61" s="22"/>
      <c r="F61" s="9"/>
    </row>
    <row r="62" customFormat="false" ht="15" hidden="false" customHeight="false" outlineLevel="0" collapsed="false">
      <c r="A62" s="17" t="s">
        <v>113</v>
      </c>
      <c r="B62" s="10" t="s">
        <v>114</v>
      </c>
      <c r="C62" s="23" t="n">
        <f aca="false">SUM(C52:C61)</f>
        <v>0</v>
      </c>
      <c r="D62" s="19" t="str">
        <f aca="false">IF(C62&gt;=16,"PASS","BELOW THRESHOLD")</f>
        <v>BELOW THRESHOLD</v>
      </c>
    </row>
    <row r="64" customFormat="false" ht="19.5" hidden="false" customHeight="true" outlineLevel="0" collapsed="false">
      <c r="A64" s="6" t="s">
        <v>115</v>
      </c>
      <c r="B64" s="6"/>
      <c r="C64" s="6"/>
      <c r="D64" s="6"/>
      <c r="E64" s="6"/>
      <c r="F64" s="6"/>
    </row>
    <row r="65" customFormat="false" ht="27.75" hidden="false" customHeight="true" outlineLevel="0" collapsed="false">
      <c r="A65" s="7" t="s">
        <v>116</v>
      </c>
      <c r="B65" s="7" t="s">
        <v>117</v>
      </c>
      <c r="C65" s="7" t="s">
        <v>118</v>
      </c>
      <c r="D65" s="7" t="s">
        <v>119</v>
      </c>
      <c r="E65" s="7" t="s">
        <v>120</v>
      </c>
      <c r="F65" s="7" t="s">
        <v>33</v>
      </c>
    </row>
    <row r="66" customFormat="false" ht="15" hidden="false" customHeight="false" outlineLevel="0" collapsed="false">
      <c r="A66" s="11" t="s">
        <v>121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11" t="s">
        <v>122</v>
      </c>
      <c r="B67" s="8"/>
      <c r="C67" s="8"/>
      <c r="D67" s="8"/>
      <c r="E67" s="8"/>
      <c r="F67" s="8"/>
    </row>
    <row r="68" customFormat="false" ht="15" hidden="false" customHeight="false" outlineLevel="0" collapsed="false">
      <c r="A68" s="11" t="s">
        <v>123</v>
      </c>
      <c r="B68" s="8"/>
      <c r="C68" s="8"/>
      <c r="D68" s="8"/>
      <c r="E68" s="8"/>
      <c r="F68" s="8"/>
    </row>
    <row r="70" customFormat="false" ht="19.5" hidden="false" customHeight="true" outlineLevel="0" collapsed="false">
      <c r="A70" s="6" t="s">
        <v>124</v>
      </c>
      <c r="B70" s="6"/>
      <c r="C70" s="6"/>
      <c r="D70" s="6"/>
      <c r="E70" s="6"/>
      <c r="F70" s="6"/>
    </row>
    <row r="71" customFormat="false" ht="27.75" hidden="false" customHeight="true" outlineLevel="0" collapsed="false">
      <c r="A71" s="7" t="s">
        <v>98</v>
      </c>
      <c r="B71" s="7" t="s">
        <v>125</v>
      </c>
      <c r="C71" s="7" t="s">
        <v>58</v>
      </c>
      <c r="D71" s="7" t="s">
        <v>126</v>
      </c>
      <c r="E71" s="7" t="s">
        <v>127</v>
      </c>
      <c r="F71" s="7" t="s">
        <v>33</v>
      </c>
    </row>
    <row r="72" customFormat="false" ht="23.85" hidden="false" customHeight="false" outlineLevel="0" collapsed="false">
      <c r="A72" s="12" t="s">
        <v>128</v>
      </c>
      <c r="B72" s="9"/>
      <c r="C72" s="9"/>
      <c r="D72" s="9"/>
      <c r="E72" s="9"/>
      <c r="F72" s="9"/>
    </row>
    <row r="73" customFormat="false" ht="15" hidden="false" customHeight="false" outlineLevel="0" collapsed="false">
      <c r="A73" s="12" t="s">
        <v>129</v>
      </c>
      <c r="B73" s="9"/>
      <c r="C73" s="9"/>
      <c r="D73" s="9"/>
      <c r="E73" s="9"/>
      <c r="F73" s="9"/>
    </row>
    <row r="74" customFormat="false" ht="23.85" hidden="false" customHeight="false" outlineLevel="0" collapsed="false">
      <c r="A74" s="12" t="s">
        <v>130</v>
      </c>
      <c r="B74" s="9"/>
      <c r="C74" s="9"/>
      <c r="D74" s="9"/>
      <c r="E74" s="9"/>
      <c r="F74" s="9"/>
    </row>
    <row r="75" customFormat="false" ht="23.85" hidden="false" customHeight="false" outlineLevel="0" collapsed="false">
      <c r="A75" s="12" t="s">
        <v>131</v>
      </c>
      <c r="B75" s="9"/>
      <c r="C75" s="9"/>
      <c r="D75" s="9"/>
      <c r="E75" s="9"/>
      <c r="F75" s="9"/>
    </row>
    <row r="76" customFormat="false" ht="15" hidden="false" customHeight="false" outlineLevel="0" collapsed="false">
      <c r="A76" s="12" t="s">
        <v>132</v>
      </c>
      <c r="B76" s="9"/>
      <c r="C76" s="9"/>
      <c r="D76" s="9"/>
      <c r="E76" s="9"/>
      <c r="F76" s="9"/>
    </row>
    <row r="78" customFormat="false" ht="15" hidden="false" customHeight="false" outlineLevel="0" collapsed="false">
      <c r="A78" s="4" t="s">
        <v>133</v>
      </c>
    </row>
    <row r="79" customFormat="false" ht="15" hidden="false" customHeight="false" outlineLevel="0" collapsed="false">
      <c r="A79" s="4" t="s">
        <v>134</v>
      </c>
      <c r="B79" s="4" t="n">
        <v>39</v>
      </c>
    </row>
    <row r="80" customFormat="false" ht="15" hidden="false" customHeight="false" outlineLevel="0" collapsed="false">
      <c r="A80" s="4" t="s">
        <v>135</v>
      </c>
      <c r="B80" s="4" t="n">
        <v>62</v>
      </c>
    </row>
  </sheetData>
  <mergeCells count="10">
    <mergeCell ref="A1:F1"/>
    <mergeCell ref="A2:F2"/>
    <mergeCell ref="A4:F4"/>
    <mergeCell ref="A13:F13"/>
    <mergeCell ref="A21:F21"/>
    <mergeCell ref="A32:F32"/>
    <mergeCell ref="A41:F41"/>
    <mergeCell ref="A50:F50"/>
    <mergeCell ref="A64:F64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136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5" t="s">
        <v>137</v>
      </c>
      <c r="B2" s="5"/>
      <c r="C2" s="5"/>
      <c r="D2" s="5"/>
      <c r="E2" s="5"/>
      <c r="F2" s="5"/>
    </row>
    <row r="4" customFormat="false" ht="19.5" hidden="false" customHeight="true" outlineLevel="0" collapsed="false">
      <c r="A4" s="6" t="s">
        <v>30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15" hidden="false" customHeight="false" outlineLevel="0" collapsed="false">
      <c r="A6" s="2" t="s">
        <v>37</v>
      </c>
      <c r="B6" s="8"/>
      <c r="C6" s="9"/>
      <c r="D6" s="10"/>
      <c r="E6" s="11" t="s">
        <v>38</v>
      </c>
      <c r="F6" s="9"/>
    </row>
    <row r="7" customFormat="false" ht="15" hidden="false" customHeight="false" outlineLevel="0" collapsed="false">
      <c r="A7" s="2" t="s">
        <v>39</v>
      </c>
      <c r="B7" s="8"/>
      <c r="C7" s="9"/>
      <c r="D7" s="10" t="s">
        <v>138</v>
      </c>
      <c r="E7" s="11" t="s">
        <v>38</v>
      </c>
      <c r="F7" s="9"/>
    </row>
    <row r="8" customFormat="false" ht="15" hidden="false" customHeight="false" outlineLevel="0" collapsed="false">
      <c r="A8" s="2" t="s">
        <v>41</v>
      </c>
      <c r="B8" s="8"/>
      <c r="C8" s="9"/>
      <c r="D8" s="10"/>
      <c r="E8" s="11" t="s">
        <v>38</v>
      </c>
      <c r="F8" s="9"/>
    </row>
    <row r="9" customFormat="false" ht="15" hidden="false" customHeight="false" outlineLevel="0" collapsed="false">
      <c r="A9" s="2" t="s">
        <v>42</v>
      </c>
      <c r="B9" s="8"/>
      <c r="C9" s="9"/>
      <c r="D9" s="10" t="s">
        <v>43</v>
      </c>
      <c r="E9" s="11" t="s">
        <v>38</v>
      </c>
      <c r="F9" s="9"/>
    </row>
    <row r="10" customFormat="false" ht="15" hidden="false" customHeight="false" outlineLevel="0" collapsed="false">
      <c r="A10" s="2" t="s">
        <v>44</v>
      </c>
      <c r="B10" s="9"/>
      <c r="C10" s="9"/>
      <c r="D10" s="10" t="s">
        <v>45</v>
      </c>
      <c r="E10" s="11" t="s">
        <v>46</v>
      </c>
      <c r="F10" s="9"/>
    </row>
    <row r="11" customFormat="false" ht="15" hidden="false" customHeight="false" outlineLevel="0" collapsed="false">
      <c r="A11" s="2" t="s">
        <v>47</v>
      </c>
      <c r="B11" s="9"/>
      <c r="C11" s="9"/>
      <c r="D11" s="10"/>
      <c r="E11" s="11" t="s">
        <v>46</v>
      </c>
      <c r="F11" s="9"/>
    </row>
    <row r="13" customFormat="false" ht="19.5" hidden="false" customHeight="true" outlineLevel="0" collapsed="false">
      <c r="A13" s="6" t="s">
        <v>48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1" t="n">
        <v>1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1" t="n">
        <v>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1" t="n">
        <v>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n">
        <v>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1" t="n">
        <v>5</v>
      </c>
      <c r="B19" s="9"/>
      <c r="C19" s="9"/>
      <c r="D19" s="9"/>
      <c r="E19" s="9"/>
      <c r="F19" s="9"/>
    </row>
    <row r="21" customFormat="false" ht="19.5" hidden="false" customHeight="true" outlineLevel="0" collapsed="false">
      <c r="A21" s="6" t="s">
        <v>55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56</v>
      </c>
      <c r="B22" s="7" t="s">
        <v>57</v>
      </c>
      <c r="C22" s="7" t="s">
        <v>58</v>
      </c>
      <c r="D22" s="7" t="s">
        <v>59</v>
      </c>
      <c r="E22" s="7" t="s">
        <v>60</v>
      </c>
      <c r="F22" s="7" t="s">
        <v>33</v>
      </c>
    </row>
    <row r="23" customFormat="false" ht="15" hidden="false" customHeight="false" outlineLevel="0" collapsed="false">
      <c r="A23" s="9" t="s">
        <v>139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9" t="s">
        <v>140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141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9" t="s">
        <v>142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143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144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2" customFormat="false" ht="19.5" hidden="false" customHeight="true" outlineLevel="0" collapsed="false">
      <c r="A32" s="6" t="s">
        <v>68</v>
      </c>
      <c r="B32" s="6"/>
      <c r="C32" s="6"/>
      <c r="D32" s="6"/>
      <c r="E32" s="6"/>
      <c r="F32" s="6"/>
    </row>
    <row r="33" customFormat="false" ht="27.75" hidden="false" customHeight="true" outlineLevel="0" collapsed="false">
      <c r="A33" s="7" t="s">
        <v>69</v>
      </c>
      <c r="B33" s="7" t="s">
        <v>70</v>
      </c>
      <c r="C33" s="7" t="s">
        <v>71</v>
      </c>
      <c r="D33" s="7" t="s">
        <v>72</v>
      </c>
      <c r="E33" s="7" t="s">
        <v>73</v>
      </c>
      <c r="F33" s="7"/>
    </row>
    <row r="34" customFormat="false" ht="15" hidden="false" customHeight="false" outlineLevel="0" collapsed="false">
      <c r="A34" s="12" t="s">
        <v>74</v>
      </c>
      <c r="B34" s="13"/>
      <c r="C34" s="14" t="n">
        <v>0.2</v>
      </c>
      <c r="D34" s="15" t="n">
        <f aca="false">IFERROR(B34-C34,0)</f>
        <v>-0.2</v>
      </c>
      <c r="E34" s="9"/>
      <c r="F34" s="16"/>
    </row>
    <row r="35" customFormat="false" ht="15" hidden="false" customHeight="false" outlineLevel="0" collapsed="false">
      <c r="A35" s="12" t="s">
        <v>75</v>
      </c>
      <c r="B35" s="13"/>
      <c r="C35" s="14" t="n">
        <v>0.25</v>
      </c>
      <c r="D35" s="15" t="n">
        <f aca="false">IFERROR(B35-C35,0)</f>
        <v>-0.25</v>
      </c>
      <c r="E35" s="9"/>
      <c r="F35" s="16"/>
    </row>
    <row r="36" customFormat="false" ht="15" hidden="false" customHeight="false" outlineLevel="0" collapsed="false">
      <c r="A36" s="12" t="s">
        <v>76</v>
      </c>
      <c r="B36" s="13"/>
      <c r="C36" s="14" t="n">
        <v>0.2</v>
      </c>
      <c r="D36" s="15" t="n">
        <f aca="false">IFERROR(B36-C36,0)</f>
        <v>-0.2</v>
      </c>
      <c r="E36" s="9"/>
      <c r="F36" s="16"/>
    </row>
    <row r="37" customFormat="false" ht="15" hidden="false" customHeight="false" outlineLevel="0" collapsed="false">
      <c r="A37" s="12" t="s">
        <v>77</v>
      </c>
      <c r="B37" s="13"/>
      <c r="C37" s="14" t="n">
        <v>0.15</v>
      </c>
      <c r="D37" s="15" t="n">
        <f aca="false">IFERROR(B37-C37,0)</f>
        <v>-0.15</v>
      </c>
      <c r="E37" s="9"/>
      <c r="F37" s="16"/>
    </row>
    <row r="38" customFormat="false" ht="15" hidden="false" customHeight="false" outlineLevel="0" collapsed="false">
      <c r="A38" s="12" t="s">
        <v>78</v>
      </c>
      <c r="B38" s="13"/>
      <c r="C38" s="14" t="n">
        <v>0.2</v>
      </c>
      <c r="D38" s="15" t="n">
        <f aca="false">IFERROR(B38-C38,0)</f>
        <v>-0.2</v>
      </c>
      <c r="E38" s="9"/>
      <c r="F38" s="16"/>
    </row>
    <row r="39" customFormat="false" ht="15" hidden="false" customHeight="false" outlineLevel="0" collapsed="false">
      <c r="A39" s="17" t="s">
        <v>79</v>
      </c>
      <c r="B39" s="18" t="n">
        <f aca="false">SUM(B34:B38)</f>
        <v>0</v>
      </c>
      <c r="D39" s="19" t="str">
        <f aca="false">IF(ABS(B39-1)&lt;0.001,"OK","Adjust — must total 100%")</f>
        <v>Adjust — must total 100%</v>
      </c>
    </row>
    <row r="41" customFormat="false" ht="19.5" hidden="false" customHeight="true" outlineLevel="0" collapsed="false">
      <c r="A41" s="6" t="s">
        <v>80</v>
      </c>
      <c r="B41" s="6"/>
      <c r="C41" s="6"/>
      <c r="D41" s="6"/>
      <c r="E41" s="6"/>
      <c r="F41" s="6"/>
    </row>
    <row r="42" customFormat="false" ht="27.75" hidden="false" customHeight="true" outlineLevel="0" collapsed="false">
      <c r="A42" s="7" t="s">
        <v>81</v>
      </c>
      <c r="B42" s="7" t="s">
        <v>82</v>
      </c>
      <c r="C42" s="7" t="s">
        <v>58</v>
      </c>
      <c r="D42" s="7" t="s">
        <v>83</v>
      </c>
      <c r="E42" s="7" t="s">
        <v>84</v>
      </c>
      <c r="F42" s="7" t="s">
        <v>33</v>
      </c>
    </row>
    <row r="43" customFormat="false" ht="15" hidden="false" customHeight="false" outlineLevel="0" collapsed="false">
      <c r="A43" s="12" t="s">
        <v>85</v>
      </c>
      <c r="B43" s="9"/>
      <c r="C43" s="9"/>
      <c r="D43" s="9"/>
      <c r="E43" s="9"/>
      <c r="F43" s="10" t="s">
        <v>86</v>
      </c>
    </row>
    <row r="44" customFormat="false" ht="15" hidden="false" customHeight="false" outlineLevel="0" collapsed="false">
      <c r="A44" s="12" t="s">
        <v>87</v>
      </c>
      <c r="B44" s="9"/>
      <c r="C44" s="9"/>
      <c r="D44" s="9"/>
      <c r="E44" s="9"/>
      <c r="F44" s="10" t="s">
        <v>88</v>
      </c>
    </row>
    <row r="45" customFormat="false" ht="15" hidden="false" customHeight="false" outlineLevel="0" collapsed="false">
      <c r="A45" s="12" t="s">
        <v>89</v>
      </c>
      <c r="B45" s="9"/>
      <c r="C45" s="9"/>
      <c r="D45" s="9"/>
      <c r="E45" s="9"/>
      <c r="F45" s="10" t="s">
        <v>90</v>
      </c>
    </row>
    <row r="46" customFormat="false" ht="15" hidden="false" customHeight="false" outlineLevel="0" collapsed="false">
      <c r="A46" s="12" t="s">
        <v>91</v>
      </c>
      <c r="B46" s="9"/>
      <c r="C46" s="9"/>
      <c r="D46" s="9"/>
      <c r="E46" s="9"/>
      <c r="F46" s="10" t="s">
        <v>92</v>
      </c>
    </row>
    <row r="47" customFormat="false" ht="15" hidden="false" customHeight="false" outlineLevel="0" collapsed="false">
      <c r="A47" s="12" t="s">
        <v>93</v>
      </c>
      <c r="B47" s="9"/>
      <c r="C47" s="9"/>
      <c r="D47" s="9"/>
      <c r="E47" s="9"/>
      <c r="F47" s="10" t="s">
        <v>94</v>
      </c>
    </row>
    <row r="48" customFormat="false" ht="15" hidden="false" customHeight="false" outlineLevel="0" collapsed="false">
      <c r="A48" s="12" t="s">
        <v>95</v>
      </c>
      <c r="B48" s="9"/>
      <c r="C48" s="9"/>
      <c r="D48" s="9"/>
      <c r="E48" s="9"/>
      <c r="F48" s="10"/>
    </row>
    <row r="50" customFormat="false" ht="19.5" hidden="false" customHeight="true" outlineLevel="0" collapsed="false">
      <c r="A50" s="6" t="s">
        <v>96</v>
      </c>
      <c r="B50" s="6"/>
      <c r="C50" s="6"/>
      <c r="D50" s="6"/>
      <c r="E50" s="6"/>
      <c r="F50" s="6"/>
    </row>
    <row r="51" customFormat="false" ht="27.75" hidden="false" customHeight="true" outlineLevel="0" collapsed="false">
      <c r="A51" s="7" t="s">
        <v>97</v>
      </c>
      <c r="B51" s="7" t="s">
        <v>98</v>
      </c>
      <c r="C51" s="7" t="s">
        <v>99</v>
      </c>
      <c r="D51" s="7" t="s">
        <v>100</v>
      </c>
      <c r="E51" s="7" t="s">
        <v>101</v>
      </c>
      <c r="F51" s="7" t="s">
        <v>102</v>
      </c>
    </row>
    <row r="52" customFormat="false" ht="35.05" hidden="false" customHeight="false" outlineLevel="0" collapsed="false">
      <c r="A52" s="11" t="n">
        <v>1</v>
      </c>
      <c r="B52" s="20" t="s">
        <v>145</v>
      </c>
      <c r="C52" s="21"/>
      <c r="D52" s="9"/>
      <c r="E52" s="22"/>
      <c r="F52" s="9"/>
    </row>
    <row r="53" customFormat="false" ht="35.05" hidden="false" customHeight="false" outlineLevel="0" collapsed="false">
      <c r="A53" s="11" t="n">
        <v>2</v>
      </c>
      <c r="B53" s="20" t="s">
        <v>146</v>
      </c>
      <c r="C53" s="21"/>
      <c r="D53" s="9"/>
      <c r="E53" s="22"/>
      <c r="F53" s="9"/>
    </row>
    <row r="54" customFormat="false" ht="35.05" hidden="false" customHeight="false" outlineLevel="0" collapsed="false">
      <c r="A54" s="11" t="n">
        <v>3</v>
      </c>
      <c r="B54" s="20" t="s">
        <v>147</v>
      </c>
      <c r="C54" s="21"/>
      <c r="D54" s="9"/>
      <c r="E54" s="22"/>
      <c r="F54" s="9"/>
    </row>
    <row r="55" customFormat="false" ht="35.05" hidden="false" customHeight="false" outlineLevel="0" collapsed="false">
      <c r="A55" s="11" t="n">
        <v>4</v>
      </c>
      <c r="B55" s="20" t="s">
        <v>148</v>
      </c>
      <c r="C55" s="21"/>
      <c r="D55" s="9"/>
      <c r="E55" s="22"/>
      <c r="F55" s="9"/>
    </row>
    <row r="56" customFormat="false" ht="23.85" hidden="false" customHeight="false" outlineLevel="0" collapsed="false">
      <c r="A56" s="11" t="n">
        <v>5</v>
      </c>
      <c r="B56" s="20" t="s">
        <v>149</v>
      </c>
      <c r="C56" s="21"/>
      <c r="D56" s="9"/>
      <c r="E56" s="22"/>
      <c r="F56" s="9"/>
    </row>
    <row r="57" customFormat="false" ht="23.85" hidden="false" customHeight="false" outlineLevel="0" collapsed="false">
      <c r="A57" s="11" t="n">
        <v>6</v>
      </c>
      <c r="B57" s="20" t="s">
        <v>150</v>
      </c>
      <c r="C57" s="21"/>
      <c r="D57" s="9"/>
      <c r="E57" s="22"/>
      <c r="F57" s="9"/>
    </row>
    <row r="58" customFormat="false" ht="23.85" hidden="false" customHeight="false" outlineLevel="0" collapsed="false">
      <c r="A58" s="11" t="n">
        <v>7</v>
      </c>
      <c r="B58" s="20" t="s">
        <v>151</v>
      </c>
      <c r="C58" s="21"/>
      <c r="D58" s="9"/>
      <c r="E58" s="22"/>
      <c r="F58" s="9"/>
    </row>
    <row r="59" customFormat="false" ht="23.85" hidden="false" customHeight="false" outlineLevel="0" collapsed="false">
      <c r="A59" s="11" t="n">
        <v>8</v>
      </c>
      <c r="B59" s="20" t="s">
        <v>152</v>
      </c>
      <c r="C59" s="21"/>
      <c r="D59" s="9"/>
      <c r="E59" s="22"/>
      <c r="F59" s="9"/>
    </row>
    <row r="60" customFormat="false" ht="23.85" hidden="false" customHeight="false" outlineLevel="0" collapsed="false">
      <c r="A60" s="11" t="n">
        <v>9</v>
      </c>
      <c r="B60" s="20" t="s">
        <v>153</v>
      </c>
      <c r="C60" s="21"/>
      <c r="D60" s="9"/>
      <c r="E60" s="22"/>
      <c r="F60" s="9"/>
    </row>
    <row r="61" customFormat="false" ht="23.85" hidden="false" customHeight="false" outlineLevel="0" collapsed="false">
      <c r="A61" s="11" t="n">
        <v>10</v>
      </c>
      <c r="B61" s="20" t="s">
        <v>154</v>
      </c>
      <c r="C61" s="21"/>
      <c r="D61" s="9"/>
      <c r="E61" s="22"/>
      <c r="F61" s="9"/>
    </row>
    <row r="62" customFormat="false" ht="15" hidden="false" customHeight="false" outlineLevel="0" collapsed="false">
      <c r="A62" s="17" t="s">
        <v>113</v>
      </c>
      <c r="B62" s="10" t="s">
        <v>114</v>
      </c>
      <c r="C62" s="23" t="n">
        <f aca="false">SUM(C52:C61)</f>
        <v>0</v>
      </c>
      <c r="D62" s="19" t="str">
        <f aca="false">IF(C62&gt;=16,"PASS","BELOW THRESHOLD")</f>
        <v>BELOW THRESHOLD</v>
      </c>
    </row>
    <row r="64" customFormat="false" ht="19.5" hidden="false" customHeight="true" outlineLevel="0" collapsed="false">
      <c r="A64" s="6" t="s">
        <v>115</v>
      </c>
      <c r="B64" s="6"/>
      <c r="C64" s="6"/>
      <c r="D64" s="6"/>
      <c r="E64" s="6"/>
      <c r="F64" s="6"/>
    </row>
    <row r="65" customFormat="false" ht="27.75" hidden="false" customHeight="true" outlineLevel="0" collapsed="false">
      <c r="A65" s="7" t="s">
        <v>116</v>
      </c>
      <c r="B65" s="7" t="s">
        <v>117</v>
      </c>
      <c r="C65" s="7" t="s">
        <v>118</v>
      </c>
      <c r="D65" s="7" t="s">
        <v>119</v>
      </c>
      <c r="E65" s="7" t="s">
        <v>120</v>
      </c>
      <c r="F65" s="7" t="s">
        <v>33</v>
      </c>
    </row>
    <row r="66" customFormat="false" ht="15" hidden="false" customHeight="false" outlineLevel="0" collapsed="false">
      <c r="A66" s="11" t="s">
        <v>121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11" t="s">
        <v>122</v>
      </c>
      <c r="B67" s="8"/>
      <c r="C67" s="8"/>
      <c r="D67" s="8"/>
      <c r="E67" s="8"/>
      <c r="F67" s="8"/>
    </row>
    <row r="68" customFormat="false" ht="15" hidden="false" customHeight="false" outlineLevel="0" collapsed="false">
      <c r="A68" s="11" t="s">
        <v>123</v>
      </c>
      <c r="B68" s="8"/>
      <c r="C68" s="8"/>
      <c r="D68" s="8"/>
      <c r="E68" s="8"/>
      <c r="F68" s="8"/>
    </row>
    <row r="70" customFormat="false" ht="19.5" hidden="false" customHeight="true" outlineLevel="0" collapsed="false">
      <c r="A70" s="6" t="s">
        <v>124</v>
      </c>
      <c r="B70" s="6"/>
      <c r="C70" s="6"/>
      <c r="D70" s="6"/>
      <c r="E70" s="6"/>
      <c r="F70" s="6"/>
    </row>
    <row r="71" customFormat="false" ht="27.75" hidden="false" customHeight="true" outlineLevel="0" collapsed="false">
      <c r="A71" s="7" t="s">
        <v>98</v>
      </c>
      <c r="B71" s="7" t="s">
        <v>125</v>
      </c>
      <c r="C71" s="7" t="s">
        <v>58</v>
      </c>
      <c r="D71" s="7" t="s">
        <v>126</v>
      </c>
      <c r="E71" s="7" t="s">
        <v>127</v>
      </c>
      <c r="F71" s="7" t="s">
        <v>33</v>
      </c>
    </row>
    <row r="72" customFormat="false" ht="23.85" hidden="false" customHeight="false" outlineLevel="0" collapsed="false">
      <c r="A72" s="12" t="s">
        <v>128</v>
      </c>
      <c r="B72" s="9"/>
      <c r="C72" s="9"/>
      <c r="D72" s="9"/>
      <c r="E72" s="9"/>
      <c r="F72" s="9"/>
    </row>
    <row r="73" customFormat="false" ht="15" hidden="false" customHeight="false" outlineLevel="0" collapsed="false">
      <c r="A73" s="12" t="s">
        <v>129</v>
      </c>
      <c r="B73" s="9"/>
      <c r="C73" s="9"/>
      <c r="D73" s="9"/>
      <c r="E73" s="9"/>
      <c r="F73" s="9"/>
    </row>
    <row r="74" customFormat="false" ht="23.85" hidden="false" customHeight="false" outlineLevel="0" collapsed="false">
      <c r="A74" s="12" t="s">
        <v>130</v>
      </c>
      <c r="B74" s="9"/>
      <c r="C74" s="9"/>
      <c r="D74" s="9"/>
      <c r="E74" s="9"/>
      <c r="F74" s="9"/>
    </row>
    <row r="75" customFormat="false" ht="23.85" hidden="false" customHeight="false" outlineLevel="0" collapsed="false">
      <c r="A75" s="12" t="s">
        <v>131</v>
      </c>
      <c r="B75" s="9"/>
      <c r="C75" s="9"/>
      <c r="D75" s="9"/>
      <c r="E75" s="9"/>
      <c r="F75" s="9"/>
    </row>
    <row r="76" customFormat="false" ht="15" hidden="false" customHeight="false" outlineLevel="0" collapsed="false">
      <c r="A76" s="12" t="s">
        <v>132</v>
      </c>
      <c r="B76" s="9"/>
      <c r="C76" s="9"/>
      <c r="D76" s="9"/>
      <c r="E76" s="9"/>
      <c r="F76" s="9"/>
    </row>
    <row r="78" customFormat="false" ht="15" hidden="false" customHeight="false" outlineLevel="0" collapsed="false">
      <c r="A78" s="4" t="s">
        <v>133</v>
      </c>
    </row>
    <row r="79" customFormat="false" ht="15" hidden="false" customHeight="false" outlineLevel="0" collapsed="false">
      <c r="A79" s="4" t="s">
        <v>134</v>
      </c>
      <c r="B79" s="4" t="n">
        <v>39</v>
      </c>
    </row>
    <row r="80" customFormat="false" ht="15" hidden="false" customHeight="false" outlineLevel="0" collapsed="false">
      <c r="A80" s="4" t="s">
        <v>135</v>
      </c>
      <c r="B80" s="4" t="n">
        <v>62</v>
      </c>
    </row>
  </sheetData>
  <mergeCells count="10">
    <mergeCell ref="A1:F1"/>
    <mergeCell ref="A2:F2"/>
    <mergeCell ref="A4:F4"/>
    <mergeCell ref="A13:F13"/>
    <mergeCell ref="A21:F21"/>
    <mergeCell ref="A32:F32"/>
    <mergeCell ref="A41:F41"/>
    <mergeCell ref="A50:F50"/>
    <mergeCell ref="A64:F64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155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5" t="s">
        <v>156</v>
      </c>
      <c r="B2" s="5"/>
      <c r="C2" s="5"/>
      <c r="D2" s="5"/>
      <c r="E2" s="5"/>
      <c r="F2" s="5"/>
    </row>
    <row r="4" customFormat="false" ht="19.5" hidden="false" customHeight="true" outlineLevel="0" collapsed="false">
      <c r="A4" s="6" t="s">
        <v>30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15" hidden="false" customHeight="false" outlineLevel="0" collapsed="false">
      <c r="A6" s="2" t="s">
        <v>37</v>
      </c>
      <c r="B6" s="8"/>
      <c r="C6" s="9"/>
      <c r="D6" s="10"/>
      <c r="E6" s="11" t="s">
        <v>38</v>
      </c>
      <c r="F6" s="9"/>
    </row>
    <row r="7" customFormat="false" ht="15" hidden="false" customHeight="false" outlineLevel="0" collapsed="false">
      <c r="A7" s="2" t="s">
        <v>39</v>
      </c>
      <c r="B7" s="8"/>
      <c r="C7" s="9"/>
      <c r="D7" s="10" t="s">
        <v>157</v>
      </c>
      <c r="E7" s="11" t="s">
        <v>38</v>
      </c>
      <c r="F7" s="9"/>
    </row>
    <row r="8" customFormat="false" ht="15" hidden="false" customHeight="false" outlineLevel="0" collapsed="false">
      <c r="A8" s="2" t="s">
        <v>41</v>
      </c>
      <c r="B8" s="8"/>
      <c r="C8" s="9"/>
      <c r="D8" s="10"/>
      <c r="E8" s="11" t="s">
        <v>38</v>
      </c>
      <c r="F8" s="9"/>
    </row>
    <row r="9" customFormat="false" ht="15" hidden="false" customHeight="false" outlineLevel="0" collapsed="false">
      <c r="A9" s="2" t="s">
        <v>42</v>
      </c>
      <c r="B9" s="8"/>
      <c r="C9" s="9"/>
      <c r="D9" s="10" t="s">
        <v>43</v>
      </c>
      <c r="E9" s="11" t="s">
        <v>38</v>
      </c>
      <c r="F9" s="9"/>
    </row>
    <row r="10" customFormat="false" ht="15" hidden="false" customHeight="false" outlineLevel="0" collapsed="false">
      <c r="A10" s="2" t="s">
        <v>44</v>
      </c>
      <c r="B10" s="9"/>
      <c r="C10" s="9"/>
      <c r="D10" s="10" t="s">
        <v>45</v>
      </c>
      <c r="E10" s="11" t="s">
        <v>46</v>
      </c>
      <c r="F10" s="9"/>
    </row>
    <row r="11" customFormat="false" ht="15" hidden="false" customHeight="false" outlineLevel="0" collapsed="false">
      <c r="A11" s="2" t="s">
        <v>47</v>
      </c>
      <c r="B11" s="9"/>
      <c r="C11" s="9"/>
      <c r="D11" s="10"/>
      <c r="E11" s="11" t="s">
        <v>46</v>
      </c>
      <c r="F11" s="9"/>
    </row>
    <row r="13" customFormat="false" ht="19.5" hidden="false" customHeight="true" outlineLevel="0" collapsed="false">
      <c r="A13" s="6" t="s">
        <v>48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1" t="n">
        <v>1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1" t="n">
        <v>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1" t="n">
        <v>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n">
        <v>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1" t="n">
        <v>5</v>
      </c>
      <c r="B19" s="9"/>
      <c r="C19" s="9"/>
      <c r="D19" s="9"/>
      <c r="E19" s="9"/>
      <c r="F19" s="9"/>
    </row>
    <row r="21" customFormat="false" ht="19.5" hidden="false" customHeight="true" outlineLevel="0" collapsed="false">
      <c r="A21" s="6" t="s">
        <v>55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56</v>
      </c>
      <c r="B22" s="7" t="s">
        <v>57</v>
      </c>
      <c r="C22" s="7" t="s">
        <v>58</v>
      </c>
      <c r="D22" s="7" t="s">
        <v>59</v>
      </c>
      <c r="E22" s="7" t="s">
        <v>60</v>
      </c>
      <c r="F22" s="7" t="s">
        <v>33</v>
      </c>
    </row>
    <row r="23" customFormat="false" ht="15" hidden="false" customHeight="false" outlineLevel="0" collapsed="false">
      <c r="A23" s="9" t="s">
        <v>158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9" t="s">
        <v>159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160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9" t="s">
        <v>161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162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163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 t="s">
        <v>164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2" customFormat="false" ht="19.5" hidden="false" customHeight="true" outlineLevel="0" collapsed="false">
      <c r="A32" s="6" t="s">
        <v>68</v>
      </c>
      <c r="B32" s="6"/>
      <c r="C32" s="6"/>
      <c r="D32" s="6"/>
      <c r="E32" s="6"/>
      <c r="F32" s="6"/>
    </row>
    <row r="33" customFormat="false" ht="27.75" hidden="false" customHeight="true" outlineLevel="0" collapsed="false">
      <c r="A33" s="7" t="s">
        <v>69</v>
      </c>
      <c r="B33" s="7" t="s">
        <v>70</v>
      </c>
      <c r="C33" s="7" t="s">
        <v>71</v>
      </c>
      <c r="D33" s="7" t="s">
        <v>72</v>
      </c>
      <c r="E33" s="7" t="s">
        <v>73</v>
      </c>
      <c r="F33" s="7"/>
    </row>
    <row r="34" customFormat="false" ht="15" hidden="false" customHeight="false" outlineLevel="0" collapsed="false">
      <c r="A34" s="12" t="s">
        <v>74</v>
      </c>
      <c r="B34" s="13"/>
      <c r="C34" s="14" t="n">
        <v>0.15</v>
      </c>
      <c r="D34" s="15" t="n">
        <f aca="false">IFERROR(B34-C34,0)</f>
        <v>-0.15</v>
      </c>
      <c r="E34" s="9"/>
      <c r="F34" s="16"/>
    </row>
    <row r="35" customFormat="false" ht="15" hidden="false" customHeight="false" outlineLevel="0" collapsed="false">
      <c r="A35" s="12" t="s">
        <v>75</v>
      </c>
      <c r="B35" s="13"/>
      <c r="C35" s="14" t="n">
        <v>0.2</v>
      </c>
      <c r="D35" s="15" t="n">
        <f aca="false">IFERROR(B35-C35,0)</f>
        <v>-0.2</v>
      </c>
      <c r="E35" s="9"/>
      <c r="F35" s="16"/>
    </row>
    <row r="36" customFormat="false" ht="15" hidden="false" customHeight="false" outlineLevel="0" collapsed="false">
      <c r="A36" s="12" t="s">
        <v>76</v>
      </c>
      <c r="B36" s="13"/>
      <c r="C36" s="14" t="n">
        <v>0.2</v>
      </c>
      <c r="D36" s="15" t="n">
        <f aca="false">IFERROR(B36-C36,0)</f>
        <v>-0.2</v>
      </c>
      <c r="E36" s="9"/>
      <c r="F36" s="16"/>
    </row>
    <row r="37" customFormat="false" ht="15" hidden="false" customHeight="false" outlineLevel="0" collapsed="false">
      <c r="A37" s="12" t="s">
        <v>77</v>
      </c>
      <c r="B37" s="13"/>
      <c r="C37" s="14" t="n">
        <v>0.2</v>
      </c>
      <c r="D37" s="15" t="n">
        <f aca="false">IFERROR(B37-C37,0)</f>
        <v>-0.2</v>
      </c>
      <c r="E37" s="9"/>
      <c r="F37" s="16"/>
    </row>
    <row r="38" customFormat="false" ht="15" hidden="false" customHeight="false" outlineLevel="0" collapsed="false">
      <c r="A38" s="12" t="s">
        <v>78</v>
      </c>
      <c r="B38" s="13"/>
      <c r="C38" s="14" t="n">
        <v>0.25</v>
      </c>
      <c r="D38" s="15" t="n">
        <f aca="false">IFERROR(B38-C38,0)</f>
        <v>-0.25</v>
      </c>
      <c r="E38" s="9"/>
      <c r="F38" s="16"/>
    </row>
    <row r="39" customFormat="false" ht="15" hidden="false" customHeight="false" outlineLevel="0" collapsed="false">
      <c r="A39" s="17" t="s">
        <v>79</v>
      </c>
      <c r="B39" s="18" t="n">
        <f aca="false">SUM(B34:B38)</f>
        <v>0</v>
      </c>
      <c r="D39" s="19" t="str">
        <f aca="false">IF(ABS(B39-1)&lt;0.001,"OK","Adjust — must total 100%")</f>
        <v>Adjust — must total 100%</v>
      </c>
    </row>
    <row r="41" customFormat="false" ht="19.5" hidden="false" customHeight="true" outlineLevel="0" collapsed="false">
      <c r="A41" s="6" t="s">
        <v>80</v>
      </c>
      <c r="B41" s="6"/>
      <c r="C41" s="6"/>
      <c r="D41" s="6"/>
      <c r="E41" s="6"/>
      <c r="F41" s="6"/>
    </row>
    <row r="42" customFormat="false" ht="27.75" hidden="false" customHeight="true" outlineLevel="0" collapsed="false">
      <c r="A42" s="7" t="s">
        <v>81</v>
      </c>
      <c r="B42" s="7" t="s">
        <v>82</v>
      </c>
      <c r="C42" s="7" t="s">
        <v>58</v>
      </c>
      <c r="D42" s="7" t="s">
        <v>83</v>
      </c>
      <c r="E42" s="7" t="s">
        <v>84</v>
      </c>
      <c r="F42" s="7" t="s">
        <v>33</v>
      </c>
    </row>
    <row r="43" customFormat="false" ht="15" hidden="false" customHeight="false" outlineLevel="0" collapsed="false">
      <c r="A43" s="12" t="s">
        <v>85</v>
      </c>
      <c r="B43" s="9"/>
      <c r="C43" s="9"/>
      <c r="D43" s="9"/>
      <c r="E43" s="9"/>
      <c r="F43" s="10" t="s">
        <v>86</v>
      </c>
    </row>
    <row r="44" customFormat="false" ht="15" hidden="false" customHeight="false" outlineLevel="0" collapsed="false">
      <c r="A44" s="12" t="s">
        <v>87</v>
      </c>
      <c r="B44" s="9"/>
      <c r="C44" s="9"/>
      <c r="D44" s="9"/>
      <c r="E44" s="9"/>
      <c r="F44" s="10" t="s">
        <v>88</v>
      </c>
    </row>
    <row r="45" customFormat="false" ht="15" hidden="false" customHeight="false" outlineLevel="0" collapsed="false">
      <c r="A45" s="12" t="s">
        <v>89</v>
      </c>
      <c r="B45" s="9"/>
      <c r="C45" s="9"/>
      <c r="D45" s="9"/>
      <c r="E45" s="9"/>
      <c r="F45" s="10" t="s">
        <v>90</v>
      </c>
    </row>
    <row r="46" customFormat="false" ht="15" hidden="false" customHeight="false" outlineLevel="0" collapsed="false">
      <c r="A46" s="12" t="s">
        <v>91</v>
      </c>
      <c r="B46" s="9"/>
      <c r="C46" s="9"/>
      <c r="D46" s="9"/>
      <c r="E46" s="9"/>
      <c r="F46" s="10" t="s">
        <v>92</v>
      </c>
    </row>
    <row r="47" customFormat="false" ht="15" hidden="false" customHeight="false" outlineLevel="0" collapsed="false">
      <c r="A47" s="12" t="s">
        <v>93</v>
      </c>
      <c r="B47" s="9"/>
      <c r="C47" s="9"/>
      <c r="D47" s="9"/>
      <c r="E47" s="9"/>
      <c r="F47" s="10" t="s">
        <v>94</v>
      </c>
    </row>
    <row r="48" customFormat="false" ht="15" hidden="false" customHeight="false" outlineLevel="0" collapsed="false">
      <c r="A48" s="12" t="s">
        <v>95</v>
      </c>
      <c r="B48" s="9"/>
      <c r="C48" s="9"/>
      <c r="D48" s="9"/>
      <c r="E48" s="9"/>
      <c r="F48" s="10"/>
    </row>
    <row r="50" customFormat="false" ht="19.5" hidden="false" customHeight="true" outlineLevel="0" collapsed="false">
      <c r="A50" s="6" t="s">
        <v>96</v>
      </c>
      <c r="B50" s="6"/>
      <c r="C50" s="6"/>
      <c r="D50" s="6"/>
      <c r="E50" s="6"/>
      <c r="F50" s="6"/>
    </row>
    <row r="51" customFormat="false" ht="27.75" hidden="false" customHeight="true" outlineLevel="0" collapsed="false">
      <c r="A51" s="7" t="s">
        <v>97</v>
      </c>
      <c r="B51" s="7" t="s">
        <v>98</v>
      </c>
      <c r="C51" s="7" t="s">
        <v>99</v>
      </c>
      <c r="D51" s="7" t="s">
        <v>100</v>
      </c>
      <c r="E51" s="7" t="s">
        <v>101</v>
      </c>
      <c r="F51" s="7" t="s">
        <v>102</v>
      </c>
    </row>
    <row r="52" customFormat="false" ht="35.05" hidden="false" customHeight="false" outlineLevel="0" collapsed="false">
      <c r="A52" s="11" t="n">
        <v>1</v>
      </c>
      <c r="B52" s="20" t="s">
        <v>165</v>
      </c>
      <c r="C52" s="21"/>
      <c r="D52" s="9"/>
      <c r="E52" s="22"/>
      <c r="F52" s="9"/>
    </row>
    <row r="53" customFormat="false" ht="35.05" hidden="false" customHeight="false" outlineLevel="0" collapsed="false">
      <c r="A53" s="11" t="n">
        <v>2</v>
      </c>
      <c r="B53" s="20" t="s">
        <v>166</v>
      </c>
      <c r="C53" s="21"/>
      <c r="D53" s="9"/>
      <c r="E53" s="22"/>
      <c r="F53" s="9"/>
    </row>
    <row r="54" customFormat="false" ht="35.05" hidden="false" customHeight="false" outlineLevel="0" collapsed="false">
      <c r="A54" s="11" t="n">
        <v>3</v>
      </c>
      <c r="B54" s="20" t="s">
        <v>167</v>
      </c>
      <c r="C54" s="21"/>
      <c r="D54" s="9"/>
      <c r="E54" s="22"/>
      <c r="F54" s="9"/>
    </row>
    <row r="55" customFormat="false" ht="35.05" hidden="false" customHeight="false" outlineLevel="0" collapsed="false">
      <c r="A55" s="11" t="n">
        <v>4</v>
      </c>
      <c r="B55" s="20" t="s">
        <v>168</v>
      </c>
      <c r="C55" s="21"/>
      <c r="D55" s="9"/>
      <c r="E55" s="22"/>
      <c r="F55" s="9"/>
    </row>
    <row r="56" customFormat="false" ht="35.05" hidden="false" customHeight="false" outlineLevel="0" collapsed="false">
      <c r="A56" s="11" t="n">
        <v>5</v>
      </c>
      <c r="B56" s="20" t="s">
        <v>169</v>
      </c>
      <c r="C56" s="21"/>
      <c r="D56" s="9"/>
      <c r="E56" s="22"/>
      <c r="F56" s="9"/>
    </row>
    <row r="57" customFormat="false" ht="23.85" hidden="false" customHeight="false" outlineLevel="0" collapsed="false">
      <c r="A57" s="11" t="n">
        <v>6</v>
      </c>
      <c r="B57" s="20" t="s">
        <v>170</v>
      </c>
      <c r="C57" s="21"/>
      <c r="D57" s="9"/>
      <c r="E57" s="22"/>
      <c r="F57" s="9"/>
    </row>
    <row r="58" customFormat="false" ht="35.05" hidden="false" customHeight="false" outlineLevel="0" collapsed="false">
      <c r="A58" s="11" t="n">
        <v>7</v>
      </c>
      <c r="B58" s="20" t="s">
        <v>171</v>
      </c>
      <c r="C58" s="21"/>
      <c r="D58" s="9"/>
      <c r="E58" s="22"/>
      <c r="F58" s="9"/>
    </row>
    <row r="59" customFormat="false" ht="23.85" hidden="false" customHeight="false" outlineLevel="0" collapsed="false">
      <c r="A59" s="11" t="n">
        <v>8</v>
      </c>
      <c r="B59" s="20" t="s">
        <v>172</v>
      </c>
      <c r="C59" s="21"/>
      <c r="D59" s="9"/>
      <c r="E59" s="22"/>
      <c r="F59" s="9"/>
    </row>
    <row r="60" customFormat="false" ht="23.85" hidden="false" customHeight="false" outlineLevel="0" collapsed="false">
      <c r="A60" s="11" t="n">
        <v>9</v>
      </c>
      <c r="B60" s="20" t="s">
        <v>173</v>
      </c>
      <c r="C60" s="21"/>
      <c r="D60" s="9"/>
      <c r="E60" s="22"/>
      <c r="F60" s="9"/>
    </row>
    <row r="61" customFormat="false" ht="23.85" hidden="false" customHeight="false" outlineLevel="0" collapsed="false">
      <c r="A61" s="11" t="n">
        <v>10</v>
      </c>
      <c r="B61" s="20" t="s">
        <v>174</v>
      </c>
      <c r="C61" s="21"/>
      <c r="D61" s="9"/>
      <c r="E61" s="22"/>
      <c r="F61" s="9"/>
    </row>
    <row r="62" customFormat="false" ht="15" hidden="false" customHeight="false" outlineLevel="0" collapsed="false">
      <c r="A62" s="17" t="s">
        <v>113</v>
      </c>
      <c r="B62" s="10" t="s">
        <v>114</v>
      </c>
      <c r="C62" s="23" t="n">
        <f aca="false">SUM(C52:C61)</f>
        <v>0</v>
      </c>
      <c r="D62" s="19" t="str">
        <f aca="false">IF(C62&gt;=16,"PASS","BELOW THRESHOLD")</f>
        <v>BELOW THRESHOLD</v>
      </c>
    </row>
    <row r="64" customFormat="false" ht="19.5" hidden="false" customHeight="true" outlineLevel="0" collapsed="false">
      <c r="A64" s="6" t="s">
        <v>115</v>
      </c>
      <c r="B64" s="6"/>
      <c r="C64" s="6"/>
      <c r="D64" s="6"/>
      <c r="E64" s="6"/>
      <c r="F64" s="6"/>
    </row>
    <row r="65" customFormat="false" ht="27.75" hidden="false" customHeight="true" outlineLevel="0" collapsed="false">
      <c r="A65" s="7" t="s">
        <v>116</v>
      </c>
      <c r="B65" s="7" t="s">
        <v>117</v>
      </c>
      <c r="C65" s="7" t="s">
        <v>118</v>
      </c>
      <c r="D65" s="7" t="s">
        <v>119</v>
      </c>
      <c r="E65" s="7" t="s">
        <v>120</v>
      </c>
      <c r="F65" s="7" t="s">
        <v>33</v>
      </c>
    </row>
    <row r="66" customFormat="false" ht="15" hidden="false" customHeight="false" outlineLevel="0" collapsed="false">
      <c r="A66" s="11" t="s">
        <v>121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11" t="s">
        <v>122</v>
      </c>
      <c r="B67" s="8"/>
      <c r="C67" s="8"/>
      <c r="D67" s="8"/>
      <c r="E67" s="8"/>
      <c r="F67" s="8"/>
    </row>
    <row r="68" customFormat="false" ht="15" hidden="false" customHeight="false" outlineLevel="0" collapsed="false">
      <c r="A68" s="11" t="s">
        <v>123</v>
      </c>
      <c r="B68" s="8"/>
      <c r="C68" s="8"/>
      <c r="D68" s="8"/>
      <c r="E68" s="8"/>
      <c r="F68" s="8"/>
    </row>
    <row r="70" customFormat="false" ht="19.5" hidden="false" customHeight="true" outlineLevel="0" collapsed="false">
      <c r="A70" s="6" t="s">
        <v>124</v>
      </c>
      <c r="B70" s="6"/>
      <c r="C70" s="6"/>
      <c r="D70" s="6"/>
      <c r="E70" s="6"/>
      <c r="F70" s="6"/>
    </row>
    <row r="71" customFormat="false" ht="27.75" hidden="false" customHeight="true" outlineLevel="0" collapsed="false">
      <c r="A71" s="7" t="s">
        <v>98</v>
      </c>
      <c r="B71" s="7" t="s">
        <v>125</v>
      </c>
      <c r="C71" s="7" t="s">
        <v>58</v>
      </c>
      <c r="D71" s="7" t="s">
        <v>126</v>
      </c>
      <c r="E71" s="7" t="s">
        <v>127</v>
      </c>
      <c r="F71" s="7" t="s">
        <v>33</v>
      </c>
    </row>
    <row r="72" customFormat="false" ht="23.85" hidden="false" customHeight="false" outlineLevel="0" collapsed="false">
      <c r="A72" s="12" t="s">
        <v>128</v>
      </c>
      <c r="B72" s="9"/>
      <c r="C72" s="9"/>
      <c r="D72" s="9"/>
      <c r="E72" s="9"/>
      <c r="F72" s="9"/>
    </row>
    <row r="73" customFormat="false" ht="15" hidden="false" customHeight="false" outlineLevel="0" collapsed="false">
      <c r="A73" s="12" t="s">
        <v>129</v>
      </c>
      <c r="B73" s="9"/>
      <c r="C73" s="9"/>
      <c r="D73" s="9"/>
      <c r="E73" s="9"/>
      <c r="F73" s="9"/>
    </row>
    <row r="74" customFormat="false" ht="23.85" hidden="false" customHeight="false" outlineLevel="0" collapsed="false">
      <c r="A74" s="12" t="s">
        <v>130</v>
      </c>
      <c r="B74" s="9"/>
      <c r="C74" s="9"/>
      <c r="D74" s="9"/>
      <c r="E74" s="9"/>
      <c r="F74" s="9"/>
    </row>
    <row r="75" customFormat="false" ht="23.85" hidden="false" customHeight="false" outlineLevel="0" collapsed="false">
      <c r="A75" s="12" t="s">
        <v>131</v>
      </c>
      <c r="B75" s="9"/>
      <c r="C75" s="9"/>
      <c r="D75" s="9"/>
      <c r="E75" s="9"/>
      <c r="F75" s="9"/>
    </row>
    <row r="76" customFormat="false" ht="15" hidden="false" customHeight="false" outlineLevel="0" collapsed="false">
      <c r="A76" s="12" t="s">
        <v>132</v>
      </c>
      <c r="B76" s="9"/>
      <c r="C76" s="9"/>
      <c r="D76" s="9"/>
      <c r="E76" s="9"/>
      <c r="F76" s="9"/>
    </row>
    <row r="78" customFormat="false" ht="15" hidden="false" customHeight="false" outlineLevel="0" collapsed="false">
      <c r="A78" s="4" t="s">
        <v>133</v>
      </c>
    </row>
    <row r="79" customFormat="false" ht="15" hidden="false" customHeight="false" outlineLevel="0" collapsed="false">
      <c r="A79" s="4" t="s">
        <v>134</v>
      </c>
      <c r="B79" s="4" t="n">
        <v>39</v>
      </c>
    </row>
    <row r="80" customFormat="false" ht="15" hidden="false" customHeight="false" outlineLevel="0" collapsed="false">
      <c r="A80" s="4" t="s">
        <v>135</v>
      </c>
      <c r="B80" s="4" t="n">
        <v>62</v>
      </c>
    </row>
  </sheetData>
  <mergeCells count="10">
    <mergeCell ref="A1:F1"/>
    <mergeCell ref="A2:F2"/>
    <mergeCell ref="A4:F4"/>
    <mergeCell ref="A13:F13"/>
    <mergeCell ref="A21:F21"/>
    <mergeCell ref="A32:F32"/>
    <mergeCell ref="A41:F41"/>
    <mergeCell ref="A50:F50"/>
    <mergeCell ref="A64:F64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175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5" t="s">
        <v>176</v>
      </c>
      <c r="B2" s="5"/>
      <c r="C2" s="5"/>
      <c r="D2" s="5"/>
      <c r="E2" s="5"/>
      <c r="F2" s="5"/>
    </row>
    <row r="4" customFormat="false" ht="19.5" hidden="false" customHeight="true" outlineLevel="0" collapsed="false">
      <c r="A4" s="6" t="s">
        <v>30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15" hidden="false" customHeight="false" outlineLevel="0" collapsed="false">
      <c r="A6" s="2" t="s">
        <v>37</v>
      </c>
      <c r="B6" s="8"/>
      <c r="C6" s="9"/>
      <c r="D6" s="10"/>
      <c r="E6" s="11" t="s">
        <v>38</v>
      </c>
      <c r="F6" s="9"/>
    </row>
    <row r="7" customFormat="false" ht="15" hidden="false" customHeight="false" outlineLevel="0" collapsed="false">
      <c r="A7" s="2" t="s">
        <v>39</v>
      </c>
      <c r="B7" s="8"/>
      <c r="C7" s="9"/>
      <c r="D7" s="10" t="s">
        <v>177</v>
      </c>
      <c r="E7" s="11" t="s">
        <v>38</v>
      </c>
      <c r="F7" s="9"/>
    </row>
    <row r="8" customFormat="false" ht="15" hidden="false" customHeight="false" outlineLevel="0" collapsed="false">
      <c r="A8" s="2" t="s">
        <v>41</v>
      </c>
      <c r="B8" s="8"/>
      <c r="C8" s="9"/>
      <c r="D8" s="10"/>
      <c r="E8" s="11" t="s">
        <v>38</v>
      </c>
      <c r="F8" s="9"/>
    </row>
    <row r="9" customFormat="false" ht="15" hidden="false" customHeight="false" outlineLevel="0" collapsed="false">
      <c r="A9" s="2" t="s">
        <v>42</v>
      </c>
      <c r="B9" s="8"/>
      <c r="C9" s="9"/>
      <c r="D9" s="10" t="s">
        <v>43</v>
      </c>
      <c r="E9" s="11" t="s">
        <v>38</v>
      </c>
      <c r="F9" s="9"/>
    </row>
    <row r="10" customFormat="false" ht="15" hidden="false" customHeight="false" outlineLevel="0" collapsed="false">
      <c r="A10" s="2" t="s">
        <v>44</v>
      </c>
      <c r="B10" s="9"/>
      <c r="C10" s="9"/>
      <c r="D10" s="10" t="s">
        <v>45</v>
      </c>
      <c r="E10" s="11" t="s">
        <v>46</v>
      </c>
      <c r="F10" s="9"/>
    </row>
    <row r="11" customFormat="false" ht="15" hidden="false" customHeight="false" outlineLevel="0" collapsed="false">
      <c r="A11" s="2" t="s">
        <v>47</v>
      </c>
      <c r="B11" s="9"/>
      <c r="C11" s="9"/>
      <c r="D11" s="10"/>
      <c r="E11" s="11" t="s">
        <v>46</v>
      </c>
      <c r="F11" s="9"/>
    </row>
    <row r="13" customFormat="false" ht="19.5" hidden="false" customHeight="true" outlineLevel="0" collapsed="false">
      <c r="A13" s="6" t="s">
        <v>48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1" t="n">
        <v>1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1" t="n">
        <v>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1" t="n">
        <v>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n">
        <v>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1" t="n">
        <v>5</v>
      </c>
      <c r="B19" s="9"/>
      <c r="C19" s="9"/>
      <c r="D19" s="9"/>
      <c r="E19" s="9"/>
      <c r="F19" s="9"/>
    </row>
    <row r="21" customFormat="false" ht="19.5" hidden="false" customHeight="true" outlineLevel="0" collapsed="false">
      <c r="A21" s="6" t="s">
        <v>55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56</v>
      </c>
      <c r="B22" s="7" t="s">
        <v>57</v>
      </c>
      <c r="C22" s="7" t="s">
        <v>58</v>
      </c>
      <c r="D22" s="7" t="s">
        <v>59</v>
      </c>
      <c r="E22" s="7" t="s">
        <v>60</v>
      </c>
      <c r="F22" s="7" t="s">
        <v>33</v>
      </c>
    </row>
    <row r="23" customFormat="false" ht="15" hidden="false" customHeight="false" outlineLevel="0" collapsed="false">
      <c r="A23" s="9" t="s">
        <v>178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9" t="s">
        <v>179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180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9" t="s">
        <v>181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182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183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 t="s">
        <v>184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2" customFormat="false" ht="19.5" hidden="false" customHeight="true" outlineLevel="0" collapsed="false">
      <c r="A32" s="6" t="s">
        <v>68</v>
      </c>
      <c r="B32" s="6"/>
      <c r="C32" s="6"/>
      <c r="D32" s="6"/>
      <c r="E32" s="6"/>
      <c r="F32" s="6"/>
    </row>
    <row r="33" customFormat="false" ht="27.75" hidden="false" customHeight="true" outlineLevel="0" collapsed="false">
      <c r="A33" s="7" t="s">
        <v>69</v>
      </c>
      <c r="B33" s="7" t="s">
        <v>70</v>
      </c>
      <c r="C33" s="7" t="s">
        <v>71</v>
      </c>
      <c r="D33" s="7" t="s">
        <v>72</v>
      </c>
      <c r="E33" s="7" t="s">
        <v>73</v>
      </c>
      <c r="F33" s="7"/>
    </row>
    <row r="34" customFormat="false" ht="15" hidden="false" customHeight="false" outlineLevel="0" collapsed="false">
      <c r="A34" s="12" t="s">
        <v>74</v>
      </c>
      <c r="B34" s="13"/>
      <c r="C34" s="14" t="n">
        <v>0.2</v>
      </c>
      <c r="D34" s="15" t="n">
        <f aca="false">IFERROR(B34-C34,0)</f>
        <v>-0.2</v>
      </c>
      <c r="E34" s="9"/>
      <c r="F34" s="16"/>
    </row>
    <row r="35" customFormat="false" ht="15" hidden="false" customHeight="false" outlineLevel="0" collapsed="false">
      <c r="A35" s="12" t="s">
        <v>75</v>
      </c>
      <c r="B35" s="13"/>
      <c r="C35" s="14" t="n">
        <v>0.2</v>
      </c>
      <c r="D35" s="15" t="n">
        <f aca="false">IFERROR(B35-C35,0)</f>
        <v>-0.2</v>
      </c>
      <c r="E35" s="9"/>
      <c r="F35" s="16"/>
    </row>
    <row r="36" customFormat="false" ht="15" hidden="false" customHeight="false" outlineLevel="0" collapsed="false">
      <c r="A36" s="12" t="s">
        <v>76</v>
      </c>
      <c r="B36" s="13"/>
      <c r="C36" s="14" t="n">
        <v>0.2</v>
      </c>
      <c r="D36" s="15" t="n">
        <f aca="false">IFERROR(B36-C36,0)</f>
        <v>-0.2</v>
      </c>
      <c r="E36" s="9"/>
      <c r="F36" s="16"/>
    </row>
    <row r="37" customFormat="false" ht="15" hidden="false" customHeight="false" outlineLevel="0" collapsed="false">
      <c r="A37" s="12" t="s">
        <v>77</v>
      </c>
      <c r="B37" s="13"/>
      <c r="C37" s="14" t="n">
        <v>0.2</v>
      </c>
      <c r="D37" s="15" t="n">
        <f aca="false">IFERROR(B37-C37,0)</f>
        <v>-0.2</v>
      </c>
      <c r="E37" s="9"/>
      <c r="F37" s="16"/>
    </row>
    <row r="38" customFormat="false" ht="15" hidden="false" customHeight="false" outlineLevel="0" collapsed="false">
      <c r="A38" s="12" t="s">
        <v>78</v>
      </c>
      <c r="B38" s="13"/>
      <c r="C38" s="14" t="n">
        <v>0.2</v>
      </c>
      <c r="D38" s="15" t="n">
        <f aca="false">IFERROR(B38-C38,0)</f>
        <v>-0.2</v>
      </c>
      <c r="E38" s="9"/>
      <c r="F38" s="16"/>
    </row>
    <row r="39" customFormat="false" ht="15" hidden="false" customHeight="false" outlineLevel="0" collapsed="false">
      <c r="A39" s="17" t="s">
        <v>79</v>
      </c>
      <c r="B39" s="18" t="n">
        <f aca="false">SUM(B34:B38)</f>
        <v>0</v>
      </c>
      <c r="D39" s="19" t="str">
        <f aca="false">IF(ABS(B39-1)&lt;0.001,"OK","Adjust — must total 100%")</f>
        <v>Adjust — must total 100%</v>
      </c>
    </row>
    <row r="41" customFormat="false" ht="19.5" hidden="false" customHeight="true" outlineLevel="0" collapsed="false">
      <c r="A41" s="6" t="s">
        <v>80</v>
      </c>
      <c r="B41" s="6"/>
      <c r="C41" s="6"/>
      <c r="D41" s="6"/>
      <c r="E41" s="6"/>
      <c r="F41" s="6"/>
    </row>
    <row r="42" customFormat="false" ht="27.75" hidden="false" customHeight="true" outlineLevel="0" collapsed="false">
      <c r="A42" s="7" t="s">
        <v>81</v>
      </c>
      <c r="B42" s="7" t="s">
        <v>82</v>
      </c>
      <c r="C42" s="7" t="s">
        <v>58</v>
      </c>
      <c r="D42" s="7" t="s">
        <v>83</v>
      </c>
      <c r="E42" s="7" t="s">
        <v>84</v>
      </c>
      <c r="F42" s="7" t="s">
        <v>33</v>
      </c>
    </row>
    <row r="43" customFormat="false" ht="15" hidden="false" customHeight="false" outlineLevel="0" collapsed="false">
      <c r="A43" s="12" t="s">
        <v>85</v>
      </c>
      <c r="B43" s="9"/>
      <c r="C43" s="9"/>
      <c r="D43" s="9"/>
      <c r="E43" s="9"/>
      <c r="F43" s="10" t="s">
        <v>86</v>
      </c>
    </row>
    <row r="44" customFormat="false" ht="15" hidden="false" customHeight="false" outlineLevel="0" collapsed="false">
      <c r="A44" s="12" t="s">
        <v>87</v>
      </c>
      <c r="B44" s="9"/>
      <c r="C44" s="9"/>
      <c r="D44" s="9"/>
      <c r="E44" s="9"/>
      <c r="F44" s="10" t="s">
        <v>88</v>
      </c>
    </row>
    <row r="45" customFormat="false" ht="15" hidden="false" customHeight="false" outlineLevel="0" collapsed="false">
      <c r="A45" s="12" t="s">
        <v>89</v>
      </c>
      <c r="B45" s="9"/>
      <c r="C45" s="9"/>
      <c r="D45" s="9"/>
      <c r="E45" s="9"/>
      <c r="F45" s="10" t="s">
        <v>90</v>
      </c>
    </row>
    <row r="46" customFormat="false" ht="15" hidden="false" customHeight="false" outlineLevel="0" collapsed="false">
      <c r="A46" s="12" t="s">
        <v>91</v>
      </c>
      <c r="B46" s="9"/>
      <c r="C46" s="9"/>
      <c r="D46" s="9"/>
      <c r="E46" s="9"/>
      <c r="F46" s="10" t="s">
        <v>92</v>
      </c>
    </row>
    <row r="47" customFormat="false" ht="15" hidden="false" customHeight="false" outlineLevel="0" collapsed="false">
      <c r="A47" s="12" t="s">
        <v>93</v>
      </c>
      <c r="B47" s="9"/>
      <c r="C47" s="9"/>
      <c r="D47" s="9"/>
      <c r="E47" s="9"/>
      <c r="F47" s="10" t="s">
        <v>94</v>
      </c>
    </row>
    <row r="48" customFormat="false" ht="15" hidden="false" customHeight="false" outlineLevel="0" collapsed="false">
      <c r="A48" s="12" t="s">
        <v>95</v>
      </c>
      <c r="B48" s="9"/>
      <c r="C48" s="9"/>
      <c r="D48" s="9"/>
      <c r="E48" s="9"/>
      <c r="F48" s="10"/>
    </row>
    <row r="50" customFormat="false" ht="19.5" hidden="false" customHeight="true" outlineLevel="0" collapsed="false">
      <c r="A50" s="6" t="s">
        <v>96</v>
      </c>
      <c r="B50" s="6"/>
      <c r="C50" s="6"/>
      <c r="D50" s="6"/>
      <c r="E50" s="6"/>
      <c r="F50" s="6"/>
    </row>
    <row r="51" customFormat="false" ht="27.75" hidden="false" customHeight="true" outlineLevel="0" collapsed="false">
      <c r="A51" s="7" t="s">
        <v>97</v>
      </c>
      <c r="B51" s="7" t="s">
        <v>98</v>
      </c>
      <c r="C51" s="7" t="s">
        <v>99</v>
      </c>
      <c r="D51" s="7" t="s">
        <v>100</v>
      </c>
      <c r="E51" s="7" t="s">
        <v>101</v>
      </c>
      <c r="F51" s="7" t="s">
        <v>102</v>
      </c>
    </row>
    <row r="52" customFormat="false" ht="35.05" hidden="false" customHeight="false" outlineLevel="0" collapsed="false">
      <c r="A52" s="11" t="n">
        <v>1</v>
      </c>
      <c r="B52" s="20" t="s">
        <v>185</v>
      </c>
      <c r="C52" s="21"/>
      <c r="D52" s="9"/>
      <c r="E52" s="22"/>
      <c r="F52" s="9"/>
    </row>
    <row r="53" customFormat="false" ht="35.05" hidden="false" customHeight="false" outlineLevel="0" collapsed="false">
      <c r="A53" s="11" t="n">
        <v>2</v>
      </c>
      <c r="B53" s="20" t="s">
        <v>186</v>
      </c>
      <c r="C53" s="21"/>
      <c r="D53" s="9"/>
      <c r="E53" s="22"/>
      <c r="F53" s="9"/>
    </row>
    <row r="54" customFormat="false" ht="23.85" hidden="false" customHeight="false" outlineLevel="0" collapsed="false">
      <c r="A54" s="11" t="n">
        <v>3</v>
      </c>
      <c r="B54" s="20" t="s">
        <v>187</v>
      </c>
      <c r="C54" s="21"/>
      <c r="D54" s="9"/>
      <c r="E54" s="22"/>
      <c r="F54" s="9"/>
    </row>
    <row r="55" customFormat="false" ht="35.05" hidden="false" customHeight="false" outlineLevel="0" collapsed="false">
      <c r="A55" s="11" t="n">
        <v>4</v>
      </c>
      <c r="B55" s="20" t="s">
        <v>188</v>
      </c>
      <c r="C55" s="21"/>
      <c r="D55" s="9"/>
      <c r="E55" s="22"/>
      <c r="F55" s="9"/>
    </row>
    <row r="56" customFormat="false" ht="35.05" hidden="false" customHeight="false" outlineLevel="0" collapsed="false">
      <c r="A56" s="11" t="n">
        <v>5</v>
      </c>
      <c r="B56" s="20" t="s">
        <v>189</v>
      </c>
      <c r="C56" s="21"/>
      <c r="D56" s="9"/>
      <c r="E56" s="22"/>
      <c r="F56" s="9"/>
    </row>
    <row r="57" customFormat="false" ht="23.85" hidden="false" customHeight="false" outlineLevel="0" collapsed="false">
      <c r="A57" s="11" t="n">
        <v>6</v>
      </c>
      <c r="B57" s="20" t="s">
        <v>190</v>
      </c>
      <c r="C57" s="21"/>
      <c r="D57" s="9"/>
      <c r="E57" s="22"/>
      <c r="F57" s="9"/>
    </row>
    <row r="58" customFormat="false" ht="23.85" hidden="false" customHeight="false" outlineLevel="0" collapsed="false">
      <c r="A58" s="11" t="n">
        <v>7</v>
      </c>
      <c r="B58" s="20" t="s">
        <v>191</v>
      </c>
      <c r="C58" s="21"/>
      <c r="D58" s="9"/>
      <c r="E58" s="22"/>
      <c r="F58" s="9"/>
    </row>
    <row r="59" customFormat="false" ht="35.05" hidden="false" customHeight="false" outlineLevel="0" collapsed="false">
      <c r="A59" s="11" t="n">
        <v>8</v>
      </c>
      <c r="B59" s="20" t="s">
        <v>192</v>
      </c>
      <c r="C59" s="21"/>
      <c r="D59" s="9"/>
      <c r="E59" s="22"/>
      <c r="F59" s="9"/>
    </row>
    <row r="60" customFormat="false" ht="23.85" hidden="false" customHeight="false" outlineLevel="0" collapsed="false">
      <c r="A60" s="11" t="n">
        <v>9</v>
      </c>
      <c r="B60" s="20" t="s">
        <v>193</v>
      </c>
      <c r="C60" s="21"/>
      <c r="D60" s="9"/>
      <c r="E60" s="22"/>
      <c r="F60" s="9"/>
    </row>
    <row r="61" customFormat="false" ht="35.05" hidden="false" customHeight="false" outlineLevel="0" collapsed="false">
      <c r="A61" s="11" t="n">
        <v>10</v>
      </c>
      <c r="B61" s="20" t="s">
        <v>194</v>
      </c>
      <c r="C61" s="21"/>
      <c r="D61" s="9"/>
      <c r="E61" s="22"/>
      <c r="F61" s="9"/>
    </row>
    <row r="62" customFormat="false" ht="15" hidden="false" customHeight="false" outlineLevel="0" collapsed="false">
      <c r="A62" s="17" t="s">
        <v>113</v>
      </c>
      <c r="B62" s="10" t="s">
        <v>114</v>
      </c>
      <c r="C62" s="23" t="n">
        <f aca="false">SUM(C52:C61)</f>
        <v>0</v>
      </c>
      <c r="D62" s="19" t="str">
        <f aca="false">IF(C62&gt;=16,"PASS","BELOW THRESHOLD")</f>
        <v>BELOW THRESHOLD</v>
      </c>
    </row>
    <row r="64" customFormat="false" ht="19.5" hidden="false" customHeight="true" outlineLevel="0" collapsed="false">
      <c r="A64" s="6" t="s">
        <v>115</v>
      </c>
      <c r="B64" s="6"/>
      <c r="C64" s="6"/>
      <c r="D64" s="6"/>
      <c r="E64" s="6"/>
      <c r="F64" s="6"/>
    </row>
    <row r="65" customFormat="false" ht="27.75" hidden="false" customHeight="true" outlineLevel="0" collapsed="false">
      <c r="A65" s="7" t="s">
        <v>116</v>
      </c>
      <c r="B65" s="7" t="s">
        <v>117</v>
      </c>
      <c r="C65" s="7" t="s">
        <v>118</v>
      </c>
      <c r="D65" s="7" t="s">
        <v>119</v>
      </c>
      <c r="E65" s="7" t="s">
        <v>120</v>
      </c>
      <c r="F65" s="7" t="s">
        <v>33</v>
      </c>
    </row>
    <row r="66" customFormat="false" ht="15" hidden="false" customHeight="false" outlineLevel="0" collapsed="false">
      <c r="A66" s="11" t="s">
        <v>121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11" t="s">
        <v>122</v>
      </c>
      <c r="B67" s="8"/>
      <c r="C67" s="8"/>
      <c r="D67" s="8"/>
      <c r="E67" s="8"/>
      <c r="F67" s="8"/>
    </row>
    <row r="68" customFormat="false" ht="15" hidden="false" customHeight="false" outlineLevel="0" collapsed="false">
      <c r="A68" s="11" t="s">
        <v>123</v>
      </c>
      <c r="B68" s="8"/>
      <c r="C68" s="8"/>
      <c r="D68" s="8"/>
      <c r="E68" s="8"/>
      <c r="F68" s="8"/>
    </row>
    <row r="70" customFormat="false" ht="19.5" hidden="false" customHeight="true" outlineLevel="0" collapsed="false">
      <c r="A70" s="6" t="s">
        <v>124</v>
      </c>
      <c r="B70" s="6"/>
      <c r="C70" s="6"/>
      <c r="D70" s="6"/>
      <c r="E70" s="6"/>
      <c r="F70" s="6"/>
    </row>
    <row r="71" customFormat="false" ht="27.75" hidden="false" customHeight="true" outlineLevel="0" collapsed="false">
      <c r="A71" s="7" t="s">
        <v>98</v>
      </c>
      <c r="B71" s="7" t="s">
        <v>125</v>
      </c>
      <c r="C71" s="7" t="s">
        <v>58</v>
      </c>
      <c r="D71" s="7" t="s">
        <v>126</v>
      </c>
      <c r="E71" s="7" t="s">
        <v>127</v>
      </c>
      <c r="F71" s="7" t="s">
        <v>33</v>
      </c>
    </row>
    <row r="72" customFormat="false" ht="23.85" hidden="false" customHeight="false" outlineLevel="0" collapsed="false">
      <c r="A72" s="12" t="s">
        <v>128</v>
      </c>
      <c r="B72" s="9"/>
      <c r="C72" s="9"/>
      <c r="D72" s="9"/>
      <c r="E72" s="9"/>
      <c r="F72" s="9"/>
    </row>
    <row r="73" customFormat="false" ht="15" hidden="false" customHeight="false" outlineLevel="0" collapsed="false">
      <c r="A73" s="12" t="s">
        <v>129</v>
      </c>
      <c r="B73" s="9"/>
      <c r="C73" s="9"/>
      <c r="D73" s="9"/>
      <c r="E73" s="9"/>
      <c r="F73" s="9"/>
    </row>
    <row r="74" customFormat="false" ht="23.85" hidden="false" customHeight="false" outlineLevel="0" collapsed="false">
      <c r="A74" s="12" t="s">
        <v>130</v>
      </c>
      <c r="B74" s="9"/>
      <c r="C74" s="9"/>
      <c r="D74" s="9"/>
      <c r="E74" s="9"/>
      <c r="F74" s="9"/>
    </row>
    <row r="75" customFormat="false" ht="23.85" hidden="false" customHeight="false" outlineLevel="0" collapsed="false">
      <c r="A75" s="12" t="s">
        <v>131</v>
      </c>
      <c r="B75" s="9"/>
      <c r="C75" s="9"/>
      <c r="D75" s="9"/>
      <c r="E75" s="9"/>
      <c r="F75" s="9"/>
    </row>
    <row r="76" customFormat="false" ht="15" hidden="false" customHeight="false" outlineLevel="0" collapsed="false">
      <c r="A76" s="12" t="s">
        <v>132</v>
      </c>
      <c r="B76" s="9"/>
      <c r="C76" s="9"/>
      <c r="D76" s="9"/>
      <c r="E76" s="9"/>
      <c r="F76" s="9"/>
    </row>
    <row r="78" customFormat="false" ht="15" hidden="false" customHeight="false" outlineLevel="0" collapsed="false">
      <c r="A78" s="4" t="s">
        <v>133</v>
      </c>
    </row>
    <row r="79" customFormat="false" ht="15" hidden="false" customHeight="false" outlineLevel="0" collapsed="false">
      <c r="A79" s="4" t="s">
        <v>134</v>
      </c>
      <c r="B79" s="4" t="n">
        <v>39</v>
      </c>
    </row>
    <row r="80" customFormat="false" ht="15" hidden="false" customHeight="false" outlineLevel="0" collapsed="false">
      <c r="A80" s="4" t="s">
        <v>135</v>
      </c>
      <c r="B80" s="4" t="n">
        <v>62</v>
      </c>
    </row>
  </sheetData>
  <mergeCells count="10">
    <mergeCell ref="A1:F1"/>
    <mergeCell ref="A2:F2"/>
    <mergeCell ref="A4:F4"/>
    <mergeCell ref="A13:F13"/>
    <mergeCell ref="A21:F21"/>
    <mergeCell ref="A32:F32"/>
    <mergeCell ref="A41:F41"/>
    <mergeCell ref="A50:F50"/>
    <mergeCell ref="A64:F64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195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5" t="s">
        <v>196</v>
      </c>
      <c r="B2" s="5"/>
      <c r="C2" s="5"/>
      <c r="D2" s="5"/>
      <c r="E2" s="5"/>
      <c r="F2" s="5"/>
    </row>
    <row r="4" customFormat="false" ht="19.5" hidden="false" customHeight="true" outlineLevel="0" collapsed="false">
      <c r="A4" s="6" t="s">
        <v>30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15" hidden="false" customHeight="false" outlineLevel="0" collapsed="false">
      <c r="A6" s="2" t="s">
        <v>37</v>
      </c>
      <c r="B6" s="8"/>
      <c r="C6" s="9"/>
      <c r="D6" s="10"/>
      <c r="E6" s="11" t="s">
        <v>38</v>
      </c>
      <c r="F6" s="9"/>
    </row>
    <row r="7" customFormat="false" ht="15" hidden="false" customHeight="false" outlineLevel="0" collapsed="false">
      <c r="A7" s="2" t="s">
        <v>39</v>
      </c>
      <c r="B7" s="8"/>
      <c r="C7" s="9"/>
      <c r="D7" s="10" t="s">
        <v>197</v>
      </c>
      <c r="E7" s="11" t="s">
        <v>38</v>
      </c>
      <c r="F7" s="9"/>
    </row>
    <row r="8" customFormat="false" ht="15" hidden="false" customHeight="false" outlineLevel="0" collapsed="false">
      <c r="A8" s="2" t="s">
        <v>41</v>
      </c>
      <c r="B8" s="8"/>
      <c r="C8" s="9"/>
      <c r="D8" s="10"/>
      <c r="E8" s="11" t="s">
        <v>38</v>
      </c>
      <c r="F8" s="9"/>
    </row>
    <row r="9" customFormat="false" ht="15" hidden="false" customHeight="false" outlineLevel="0" collapsed="false">
      <c r="A9" s="2" t="s">
        <v>42</v>
      </c>
      <c r="B9" s="8"/>
      <c r="C9" s="9"/>
      <c r="D9" s="10" t="s">
        <v>43</v>
      </c>
      <c r="E9" s="11" t="s">
        <v>38</v>
      </c>
      <c r="F9" s="9"/>
    </row>
    <row r="10" customFormat="false" ht="15" hidden="false" customHeight="false" outlineLevel="0" collapsed="false">
      <c r="A10" s="2" t="s">
        <v>44</v>
      </c>
      <c r="B10" s="9"/>
      <c r="C10" s="9"/>
      <c r="D10" s="10" t="s">
        <v>45</v>
      </c>
      <c r="E10" s="11" t="s">
        <v>46</v>
      </c>
      <c r="F10" s="9"/>
    </row>
    <row r="11" customFormat="false" ht="15" hidden="false" customHeight="false" outlineLevel="0" collapsed="false">
      <c r="A11" s="2" t="s">
        <v>47</v>
      </c>
      <c r="B11" s="9"/>
      <c r="C11" s="9"/>
      <c r="D11" s="10"/>
      <c r="E11" s="11" t="s">
        <v>46</v>
      </c>
      <c r="F11" s="9"/>
    </row>
    <row r="13" customFormat="false" ht="19.5" hidden="false" customHeight="true" outlineLevel="0" collapsed="false">
      <c r="A13" s="6" t="s">
        <v>48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1" t="n">
        <v>1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11" t="n">
        <v>2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1" t="n">
        <v>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n">
        <v>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1" t="n">
        <v>5</v>
      </c>
      <c r="B19" s="9"/>
      <c r="C19" s="9"/>
      <c r="D19" s="9"/>
      <c r="E19" s="9"/>
      <c r="F19" s="9"/>
    </row>
    <row r="21" customFormat="false" ht="19.5" hidden="false" customHeight="true" outlineLevel="0" collapsed="false">
      <c r="A21" s="6" t="s">
        <v>55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56</v>
      </c>
      <c r="B22" s="7" t="s">
        <v>57</v>
      </c>
      <c r="C22" s="7" t="s">
        <v>58</v>
      </c>
      <c r="D22" s="7" t="s">
        <v>59</v>
      </c>
      <c r="E22" s="7" t="s">
        <v>60</v>
      </c>
      <c r="F22" s="7" t="s">
        <v>33</v>
      </c>
    </row>
    <row r="23" customFormat="false" ht="15" hidden="false" customHeight="false" outlineLevel="0" collapsed="false">
      <c r="A23" s="9" t="s">
        <v>198</v>
      </c>
      <c r="B23" s="8"/>
      <c r="C23" s="8"/>
      <c r="D23" s="8"/>
      <c r="E23" s="8"/>
      <c r="F23" s="8"/>
    </row>
    <row r="24" customFormat="false" ht="15" hidden="false" customHeight="false" outlineLevel="0" collapsed="false">
      <c r="A24" s="9" t="s">
        <v>199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200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9" t="s">
        <v>201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9" t="s">
        <v>202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9" t="s">
        <v>203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2" customFormat="false" ht="19.5" hidden="false" customHeight="true" outlineLevel="0" collapsed="false">
      <c r="A32" s="6" t="s">
        <v>68</v>
      </c>
      <c r="B32" s="6"/>
      <c r="C32" s="6"/>
      <c r="D32" s="6"/>
      <c r="E32" s="6"/>
      <c r="F32" s="6"/>
    </row>
    <row r="33" customFormat="false" ht="27.75" hidden="false" customHeight="true" outlineLevel="0" collapsed="false">
      <c r="A33" s="7" t="s">
        <v>69</v>
      </c>
      <c r="B33" s="7" t="s">
        <v>70</v>
      </c>
      <c r="C33" s="7" t="s">
        <v>71</v>
      </c>
      <c r="D33" s="7" t="s">
        <v>72</v>
      </c>
      <c r="E33" s="7" t="s">
        <v>73</v>
      </c>
      <c r="F33" s="7"/>
    </row>
    <row r="34" customFormat="false" ht="15" hidden="false" customHeight="false" outlineLevel="0" collapsed="false">
      <c r="A34" s="12" t="s">
        <v>74</v>
      </c>
      <c r="B34" s="13"/>
      <c r="C34" s="14" t="n">
        <v>0.2</v>
      </c>
      <c r="D34" s="15" t="n">
        <f aca="false">IFERROR(B34-C34,0)</f>
        <v>-0.2</v>
      </c>
      <c r="E34" s="9"/>
      <c r="F34" s="16"/>
    </row>
    <row r="35" customFormat="false" ht="15" hidden="false" customHeight="false" outlineLevel="0" collapsed="false">
      <c r="A35" s="12" t="s">
        <v>75</v>
      </c>
      <c r="B35" s="13"/>
      <c r="C35" s="14" t="n">
        <v>0.25</v>
      </c>
      <c r="D35" s="15" t="n">
        <f aca="false">IFERROR(B35-C35,0)</f>
        <v>-0.25</v>
      </c>
      <c r="E35" s="9"/>
      <c r="F35" s="16"/>
    </row>
    <row r="36" customFormat="false" ht="15" hidden="false" customHeight="false" outlineLevel="0" collapsed="false">
      <c r="A36" s="12" t="s">
        <v>76</v>
      </c>
      <c r="B36" s="13"/>
      <c r="C36" s="14" t="n">
        <v>0.2</v>
      </c>
      <c r="D36" s="15" t="n">
        <f aca="false">IFERROR(B36-C36,0)</f>
        <v>-0.2</v>
      </c>
      <c r="E36" s="9"/>
      <c r="F36" s="16"/>
    </row>
    <row r="37" customFormat="false" ht="15" hidden="false" customHeight="false" outlineLevel="0" collapsed="false">
      <c r="A37" s="12" t="s">
        <v>77</v>
      </c>
      <c r="B37" s="13"/>
      <c r="C37" s="14" t="n">
        <v>0.15</v>
      </c>
      <c r="D37" s="15" t="n">
        <f aca="false">IFERROR(B37-C37,0)</f>
        <v>-0.15</v>
      </c>
      <c r="E37" s="9"/>
      <c r="F37" s="16"/>
    </row>
    <row r="38" customFormat="false" ht="15" hidden="false" customHeight="false" outlineLevel="0" collapsed="false">
      <c r="A38" s="12" t="s">
        <v>78</v>
      </c>
      <c r="B38" s="13"/>
      <c r="C38" s="14" t="n">
        <v>0.2</v>
      </c>
      <c r="D38" s="15" t="n">
        <f aca="false">IFERROR(B38-C38,0)</f>
        <v>-0.2</v>
      </c>
      <c r="E38" s="9"/>
      <c r="F38" s="16"/>
    </row>
    <row r="39" customFormat="false" ht="15" hidden="false" customHeight="false" outlineLevel="0" collapsed="false">
      <c r="A39" s="17" t="s">
        <v>79</v>
      </c>
      <c r="B39" s="18" t="n">
        <f aca="false">SUM(B34:B38)</f>
        <v>0</v>
      </c>
      <c r="D39" s="19" t="str">
        <f aca="false">IF(ABS(B39-1)&lt;0.001,"OK","Adjust — must total 100%")</f>
        <v>Adjust — must total 100%</v>
      </c>
    </row>
    <row r="41" customFormat="false" ht="19.5" hidden="false" customHeight="true" outlineLevel="0" collapsed="false">
      <c r="A41" s="6" t="s">
        <v>80</v>
      </c>
      <c r="B41" s="6"/>
      <c r="C41" s="6"/>
      <c r="D41" s="6"/>
      <c r="E41" s="6"/>
      <c r="F41" s="6"/>
    </row>
    <row r="42" customFormat="false" ht="27.75" hidden="false" customHeight="true" outlineLevel="0" collapsed="false">
      <c r="A42" s="7" t="s">
        <v>81</v>
      </c>
      <c r="B42" s="7" t="s">
        <v>82</v>
      </c>
      <c r="C42" s="7" t="s">
        <v>58</v>
      </c>
      <c r="D42" s="7" t="s">
        <v>83</v>
      </c>
      <c r="E42" s="7" t="s">
        <v>84</v>
      </c>
      <c r="F42" s="7" t="s">
        <v>33</v>
      </c>
    </row>
    <row r="43" customFormat="false" ht="15" hidden="false" customHeight="false" outlineLevel="0" collapsed="false">
      <c r="A43" s="12" t="s">
        <v>85</v>
      </c>
      <c r="B43" s="9"/>
      <c r="C43" s="9"/>
      <c r="D43" s="9"/>
      <c r="E43" s="9"/>
      <c r="F43" s="10" t="s">
        <v>86</v>
      </c>
    </row>
    <row r="44" customFormat="false" ht="15" hidden="false" customHeight="false" outlineLevel="0" collapsed="false">
      <c r="A44" s="12" t="s">
        <v>87</v>
      </c>
      <c r="B44" s="9"/>
      <c r="C44" s="9"/>
      <c r="D44" s="9"/>
      <c r="E44" s="9"/>
      <c r="F44" s="10" t="s">
        <v>88</v>
      </c>
    </row>
    <row r="45" customFormat="false" ht="15" hidden="false" customHeight="false" outlineLevel="0" collapsed="false">
      <c r="A45" s="12" t="s">
        <v>89</v>
      </c>
      <c r="B45" s="9"/>
      <c r="C45" s="9"/>
      <c r="D45" s="9"/>
      <c r="E45" s="9"/>
      <c r="F45" s="10" t="s">
        <v>90</v>
      </c>
    </row>
    <row r="46" customFormat="false" ht="15" hidden="false" customHeight="false" outlineLevel="0" collapsed="false">
      <c r="A46" s="12" t="s">
        <v>91</v>
      </c>
      <c r="B46" s="9"/>
      <c r="C46" s="9"/>
      <c r="D46" s="9"/>
      <c r="E46" s="9"/>
      <c r="F46" s="10" t="s">
        <v>92</v>
      </c>
    </row>
    <row r="47" customFormat="false" ht="15" hidden="false" customHeight="false" outlineLevel="0" collapsed="false">
      <c r="A47" s="12" t="s">
        <v>93</v>
      </c>
      <c r="B47" s="9"/>
      <c r="C47" s="9"/>
      <c r="D47" s="9"/>
      <c r="E47" s="9"/>
      <c r="F47" s="10" t="s">
        <v>94</v>
      </c>
    </row>
    <row r="48" customFormat="false" ht="15" hidden="false" customHeight="false" outlineLevel="0" collapsed="false">
      <c r="A48" s="12" t="s">
        <v>95</v>
      </c>
      <c r="B48" s="9"/>
      <c r="C48" s="9"/>
      <c r="D48" s="9"/>
      <c r="E48" s="9"/>
      <c r="F48" s="10"/>
    </row>
    <row r="50" customFormat="false" ht="19.5" hidden="false" customHeight="true" outlineLevel="0" collapsed="false">
      <c r="A50" s="6" t="s">
        <v>96</v>
      </c>
      <c r="B50" s="6"/>
      <c r="C50" s="6"/>
      <c r="D50" s="6"/>
      <c r="E50" s="6"/>
      <c r="F50" s="6"/>
    </row>
    <row r="51" customFormat="false" ht="27.75" hidden="false" customHeight="true" outlineLevel="0" collapsed="false">
      <c r="A51" s="7" t="s">
        <v>97</v>
      </c>
      <c r="B51" s="7" t="s">
        <v>98</v>
      </c>
      <c r="C51" s="7" t="s">
        <v>99</v>
      </c>
      <c r="D51" s="7" t="s">
        <v>100</v>
      </c>
      <c r="E51" s="7" t="s">
        <v>101</v>
      </c>
      <c r="F51" s="7" t="s">
        <v>102</v>
      </c>
    </row>
    <row r="52" customFormat="false" ht="35.05" hidden="false" customHeight="false" outlineLevel="0" collapsed="false">
      <c r="A52" s="11" t="n">
        <v>1</v>
      </c>
      <c r="B52" s="20" t="s">
        <v>204</v>
      </c>
      <c r="C52" s="21"/>
      <c r="D52" s="9"/>
      <c r="E52" s="22"/>
      <c r="F52" s="9"/>
    </row>
    <row r="53" customFormat="false" ht="35.05" hidden="false" customHeight="false" outlineLevel="0" collapsed="false">
      <c r="A53" s="11" t="n">
        <v>2</v>
      </c>
      <c r="B53" s="20" t="s">
        <v>205</v>
      </c>
      <c r="C53" s="21"/>
      <c r="D53" s="9"/>
      <c r="E53" s="22"/>
      <c r="F53" s="9"/>
    </row>
    <row r="54" customFormat="false" ht="23.85" hidden="false" customHeight="false" outlineLevel="0" collapsed="false">
      <c r="A54" s="11" t="n">
        <v>3</v>
      </c>
      <c r="B54" s="20" t="s">
        <v>206</v>
      </c>
      <c r="C54" s="21"/>
      <c r="D54" s="9"/>
      <c r="E54" s="22"/>
      <c r="F54" s="9"/>
    </row>
    <row r="55" customFormat="false" ht="35.05" hidden="false" customHeight="false" outlineLevel="0" collapsed="false">
      <c r="A55" s="11" t="n">
        <v>4</v>
      </c>
      <c r="B55" s="20" t="s">
        <v>207</v>
      </c>
      <c r="C55" s="21"/>
      <c r="D55" s="9"/>
      <c r="E55" s="22"/>
      <c r="F55" s="9"/>
    </row>
    <row r="56" customFormat="false" ht="35.05" hidden="false" customHeight="false" outlineLevel="0" collapsed="false">
      <c r="A56" s="11" t="n">
        <v>5</v>
      </c>
      <c r="B56" s="20" t="s">
        <v>208</v>
      </c>
      <c r="C56" s="21"/>
      <c r="D56" s="9"/>
      <c r="E56" s="22"/>
      <c r="F56" s="9"/>
    </row>
    <row r="57" customFormat="false" ht="35.05" hidden="false" customHeight="false" outlineLevel="0" collapsed="false">
      <c r="A57" s="11" t="n">
        <v>6</v>
      </c>
      <c r="B57" s="20" t="s">
        <v>209</v>
      </c>
      <c r="C57" s="21"/>
      <c r="D57" s="9"/>
      <c r="E57" s="22"/>
      <c r="F57" s="9"/>
    </row>
    <row r="58" customFormat="false" ht="35.05" hidden="false" customHeight="false" outlineLevel="0" collapsed="false">
      <c r="A58" s="11" t="n">
        <v>7</v>
      </c>
      <c r="B58" s="20" t="s">
        <v>210</v>
      </c>
      <c r="C58" s="21"/>
      <c r="D58" s="9"/>
      <c r="E58" s="22"/>
      <c r="F58" s="9"/>
    </row>
    <row r="59" customFormat="false" ht="35.05" hidden="false" customHeight="false" outlineLevel="0" collapsed="false">
      <c r="A59" s="11" t="n">
        <v>8</v>
      </c>
      <c r="B59" s="20" t="s">
        <v>211</v>
      </c>
      <c r="C59" s="21"/>
      <c r="D59" s="9"/>
      <c r="E59" s="22"/>
      <c r="F59" s="9"/>
    </row>
    <row r="60" customFormat="false" ht="23.85" hidden="false" customHeight="false" outlineLevel="0" collapsed="false">
      <c r="A60" s="11" t="n">
        <v>9</v>
      </c>
      <c r="B60" s="20" t="s">
        <v>212</v>
      </c>
      <c r="C60" s="21"/>
      <c r="D60" s="9"/>
      <c r="E60" s="22"/>
      <c r="F60" s="9"/>
    </row>
    <row r="61" customFormat="false" ht="23.85" hidden="false" customHeight="false" outlineLevel="0" collapsed="false">
      <c r="A61" s="11" t="n">
        <v>10</v>
      </c>
      <c r="B61" s="20" t="s">
        <v>213</v>
      </c>
      <c r="C61" s="21"/>
      <c r="D61" s="9"/>
      <c r="E61" s="22"/>
      <c r="F61" s="9"/>
    </row>
    <row r="62" customFormat="false" ht="15" hidden="false" customHeight="false" outlineLevel="0" collapsed="false">
      <c r="A62" s="17" t="s">
        <v>113</v>
      </c>
      <c r="B62" s="10" t="s">
        <v>114</v>
      </c>
      <c r="C62" s="23" t="n">
        <f aca="false">SUM(C52:C61)</f>
        <v>0</v>
      </c>
      <c r="D62" s="19" t="str">
        <f aca="false">IF(C62&gt;=16,"PASS","BELOW THRESHOLD")</f>
        <v>BELOW THRESHOLD</v>
      </c>
    </row>
    <row r="64" customFormat="false" ht="19.5" hidden="false" customHeight="true" outlineLevel="0" collapsed="false">
      <c r="A64" s="6" t="s">
        <v>115</v>
      </c>
      <c r="B64" s="6"/>
      <c r="C64" s="6"/>
      <c r="D64" s="6"/>
      <c r="E64" s="6"/>
      <c r="F64" s="6"/>
    </row>
    <row r="65" customFormat="false" ht="27.75" hidden="false" customHeight="true" outlineLevel="0" collapsed="false">
      <c r="A65" s="7" t="s">
        <v>116</v>
      </c>
      <c r="B65" s="7" t="s">
        <v>117</v>
      </c>
      <c r="C65" s="7" t="s">
        <v>118</v>
      </c>
      <c r="D65" s="7" t="s">
        <v>119</v>
      </c>
      <c r="E65" s="7" t="s">
        <v>120</v>
      </c>
      <c r="F65" s="7" t="s">
        <v>33</v>
      </c>
    </row>
    <row r="66" customFormat="false" ht="15" hidden="false" customHeight="false" outlineLevel="0" collapsed="false">
      <c r="A66" s="11" t="s">
        <v>121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11" t="s">
        <v>122</v>
      </c>
      <c r="B67" s="8"/>
      <c r="C67" s="8"/>
      <c r="D67" s="8"/>
      <c r="E67" s="8"/>
      <c r="F67" s="8"/>
    </row>
    <row r="68" customFormat="false" ht="15" hidden="false" customHeight="false" outlineLevel="0" collapsed="false">
      <c r="A68" s="11" t="s">
        <v>123</v>
      </c>
      <c r="B68" s="8"/>
      <c r="C68" s="8"/>
      <c r="D68" s="8"/>
      <c r="E68" s="8"/>
      <c r="F68" s="8"/>
    </row>
    <row r="70" customFormat="false" ht="19.5" hidden="false" customHeight="true" outlineLevel="0" collapsed="false">
      <c r="A70" s="6" t="s">
        <v>124</v>
      </c>
      <c r="B70" s="6"/>
      <c r="C70" s="6"/>
      <c r="D70" s="6"/>
      <c r="E70" s="6"/>
      <c r="F70" s="6"/>
    </row>
    <row r="71" customFormat="false" ht="27.75" hidden="false" customHeight="true" outlineLevel="0" collapsed="false">
      <c r="A71" s="7" t="s">
        <v>98</v>
      </c>
      <c r="B71" s="7" t="s">
        <v>125</v>
      </c>
      <c r="C71" s="7" t="s">
        <v>58</v>
      </c>
      <c r="D71" s="7" t="s">
        <v>126</v>
      </c>
      <c r="E71" s="7" t="s">
        <v>127</v>
      </c>
      <c r="F71" s="7" t="s">
        <v>33</v>
      </c>
    </row>
    <row r="72" customFormat="false" ht="23.85" hidden="false" customHeight="false" outlineLevel="0" collapsed="false">
      <c r="A72" s="12" t="s">
        <v>128</v>
      </c>
      <c r="B72" s="9"/>
      <c r="C72" s="9"/>
      <c r="D72" s="9"/>
      <c r="E72" s="9"/>
      <c r="F72" s="9"/>
    </row>
    <row r="73" customFormat="false" ht="15" hidden="false" customHeight="false" outlineLevel="0" collapsed="false">
      <c r="A73" s="12" t="s">
        <v>129</v>
      </c>
      <c r="B73" s="9"/>
      <c r="C73" s="9"/>
      <c r="D73" s="9"/>
      <c r="E73" s="9"/>
      <c r="F73" s="9"/>
    </row>
    <row r="74" customFormat="false" ht="23.85" hidden="false" customHeight="false" outlineLevel="0" collapsed="false">
      <c r="A74" s="12" t="s">
        <v>130</v>
      </c>
      <c r="B74" s="9"/>
      <c r="C74" s="9"/>
      <c r="D74" s="9"/>
      <c r="E74" s="9"/>
      <c r="F74" s="9"/>
    </row>
    <row r="75" customFormat="false" ht="23.85" hidden="false" customHeight="false" outlineLevel="0" collapsed="false">
      <c r="A75" s="12" t="s">
        <v>131</v>
      </c>
      <c r="B75" s="9"/>
      <c r="C75" s="9"/>
      <c r="D75" s="9"/>
      <c r="E75" s="9"/>
      <c r="F75" s="9"/>
    </row>
    <row r="76" customFormat="false" ht="15" hidden="false" customHeight="false" outlineLevel="0" collapsed="false">
      <c r="A76" s="12" t="s">
        <v>132</v>
      </c>
      <c r="B76" s="9"/>
      <c r="C76" s="9"/>
      <c r="D76" s="9"/>
      <c r="E76" s="9"/>
      <c r="F76" s="9"/>
    </row>
    <row r="78" customFormat="false" ht="15" hidden="false" customHeight="false" outlineLevel="0" collapsed="false">
      <c r="A78" s="4" t="s">
        <v>133</v>
      </c>
    </row>
    <row r="79" customFormat="false" ht="15" hidden="false" customHeight="false" outlineLevel="0" collapsed="false">
      <c r="A79" s="4" t="s">
        <v>134</v>
      </c>
      <c r="B79" s="4" t="n">
        <v>39</v>
      </c>
    </row>
    <row r="80" customFormat="false" ht="15" hidden="false" customHeight="false" outlineLevel="0" collapsed="false">
      <c r="A80" s="4" t="s">
        <v>135</v>
      </c>
      <c r="B80" s="4" t="n">
        <v>62</v>
      </c>
    </row>
  </sheetData>
  <mergeCells count="10">
    <mergeCell ref="A1:F1"/>
    <mergeCell ref="A2:F2"/>
    <mergeCell ref="A4:F4"/>
    <mergeCell ref="A13:F13"/>
    <mergeCell ref="A21:F21"/>
    <mergeCell ref="A32:F32"/>
    <mergeCell ref="A41:F41"/>
    <mergeCell ref="A50:F50"/>
    <mergeCell ref="A64:F64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214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215</v>
      </c>
      <c r="B2" s="5"/>
      <c r="C2" s="5"/>
      <c r="D2" s="5"/>
      <c r="E2" s="5"/>
      <c r="F2" s="5"/>
      <c r="G2" s="5"/>
      <c r="H2" s="5"/>
    </row>
    <row r="4" customFormat="false" ht="19.5" hidden="false" customHeight="true" outlineLevel="0" collapsed="false">
      <c r="A4" s="6" t="s">
        <v>216</v>
      </c>
      <c r="B4" s="6"/>
      <c r="C4" s="6"/>
      <c r="D4" s="6"/>
      <c r="E4" s="6"/>
      <c r="F4" s="6"/>
    </row>
    <row r="5" customFormat="false" ht="27.75" hidden="false" customHeight="true" outlineLevel="0" collapsed="false">
      <c r="A5" s="7" t="s">
        <v>69</v>
      </c>
      <c r="B5" s="7" t="s">
        <v>40</v>
      </c>
      <c r="C5" s="7" t="s">
        <v>138</v>
      </c>
      <c r="D5" s="7" t="s">
        <v>157</v>
      </c>
      <c r="E5" s="7" t="s">
        <v>217</v>
      </c>
      <c r="F5" s="7" t="s">
        <v>197</v>
      </c>
      <c r="G5" s="7" t="s">
        <v>218</v>
      </c>
      <c r="H5" s="7" t="s">
        <v>219</v>
      </c>
    </row>
    <row r="6" customFormat="false" ht="15" hidden="false" customHeight="false" outlineLevel="0" collapsed="false">
      <c r="A6" s="12" t="s">
        <v>74</v>
      </c>
      <c r="B6" s="24" t="n">
        <f aca="false">CRO!B34</f>
        <v>0</v>
      </c>
      <c r="C6" s="24" t="n">
        <f aca="false">CFO!B34</f>
        <v>0</v>
      </c>
      <c r="D6" s="24" t="n">
        <f aca="false">CEO!B34</f>
        <v>0</v>
      </c>
      <c r="E6" s="24" t="n">
        <f aca="false">VPCS!B34</f>
        <v>0</v>
      </c>
      <c r="F6" s="24" t="n">
        <f aca="false">CSM!B34</f>
        <v>0</v>
      </c>
      <c r="G6" s="18" t="n">
        <f aca="false">IFERROR(AVERAGE(B6:F6),0)</f>
        <v>0</v>
      </c>
      <c r="H6" s="18" t="n">
        <f aca="false">IFERROR(MAX(B6:F6)-MIN(B6:F6),0)</f>
        <v>0</v>
      </c>
    </row>
    <row r="7" customFormat="false" ht="15" hidden="false" customHeight="false" outlineLevel="0" collapsed="false">
      <c r="A7" s="12" t="s">
        <v>75</v>
      </c>
      <c r="B7" s="24" t="n">
        <f aca="false">CRO!B35</f>
        <v>0</v>
      </c>
      <c r="C7" s="24" t="n">
        <f aca="false">CFO!B35</f>
        <v>0</v>
      </c>
      <c r="D7" s="24" t="n">
        <f aca="false">CEO!B35</f>
        <v>0</v>
      </c>
      <c r="E7" s="24" t="n">
        <f aca="false">VPCS!B35</f>
        <v>0</v>
      </c>
      <c r="F7" s="24" t="n">
        <f aca="false">CSM!B35</f>
        <v>0</v>
      </c>
      <c r="G7" s="18" t="n">
        <f aca="false">IFERROR(AVERAGE(B7:F7),0)</f>
        <v>0</v>
      </c>
      <c r="H7" s="18" t="n">
        <f aca="false">IFERROR(MAX(B7:F7)-MIN(B7:F7),0)</f>
        <v>0</v>
      </c>
    </row>
    <row r="8" customFormat="false" ht="15" hidden="false" customHeight="false" outlineLevel="0" collapsed="false">
      <c r="A8" s="12" t="s">
        <v>76</v>
      </c>
      <c r="B8" s="24" t="n">
        <f aca="false">CRO!B36</f>
        <v>0</v>
      </c>
      <c r="C8" s="24" t="n">
        <f aca="false">CFO!B36</f>
        <v>0</v>
      </c>
      <c r="D8" s="24" t="n">
        <f aca="false">CEO!B36</f>
        <v>0</v>
      </c>
      <c r="E8" s="24" t="n">
        <f aca="false">VPCS!B36</f>
        <v>0</v>
      </c>
      <c r="F8" s="24" t="n">
        <f aca="false">CSM!B36</f>
        <v>0</v>
      </c>
      <c r="G8" s="18" t="n">
        <f aca="false">IFERROR(AVERAGE(B8:F8),0)</f>
        <v>0</v>
      </c>
      <c r="H8" s="18" t="n">
        <f aca="false">IFERROR(MAX(B8:F8)-MIN(B8:F8),0)</f>
        <v>0</v>
      </c>
    </row>
    <row r="9" customFormat="false" ht="15" hidden="false" customHeight="false" outlineLevel="0" collapsed="false">
      <c r="A9" s="12" t="s">
        <v>77</v>
      </c>
      <c r="B9" s="24" t="n">
        <f aca="false">CRO!B37</f>
        <v>0</v>
      </c>
      <c r="C9" s="24" t="n">
        <f aca="false">CFO!B37</f>
        <v>0</v>
      </c>
      <c r="D9" s="24" t="n">
        <f aca="false">CEO!B37</f>
        <v>0</v>
      </c>
      <c r="E9" s="24" t="n">
        <f aca="false">VPCS!B37</f>
        <v>0</v>
      </c>
      <c r="F9" s="24" t="n">
        <f aca="false">CSM!B37</f>
        <v>0</v>
      </c>
      <c r="G9" s="18" t="n">
        <f aca="false">IFERROR(AVERAGE(B9:F9),0)</f>
        <v>0</v>
      </c>
      <c r="H9" s="18" t="n">
        <f aca="false">IFERROR(MAX(B9:F9)-MIN(B9:F9),0)</f>
        <v>0</v>
      </c>
    </row>
    <row r="10" customFormat="false" ht="15" hidden="false" customHeight="false" outlineLevel="0" collapsed="false">
      <c r="A10" s="12" t="s">
        <v>78</v>
      </c>
      <c r="B10" s="24" t="n">
        <f aca="false">CRO!B38</f>
        <v>0</v>
      </c>
      <c r="C10" s="24" t="n">
        <f aca="false">CFO!B38</f>
        <v>0</v>
      </c>
      <c r="D10" s="24" t="n">
        <f aca="false">CEO!B38</f>
        <v>0</v>
      </c>
      <c r="E10" s="24" t="n">
        <f aca="false">VPCS!B38</f>
        <v>0</v>
      </c>
      <c r="F10" s="24" t="n">
        <f aca="false">CSM!B38</f>
        <v>0</v>
      </c>
      <c r="G10" s="18" t="n">
        <f aca="false">IFERROR(AVERAGE(B10:F10),0)</f>
        <v>0</v>
      </c>
      <c r="H10" s="18" t="n">
        <f aca="false">IFERROR(MAX(B10:F10)-MIN(B10:F10),0)</f>
        <v>0</v>
      </c>
    </row>
    <row r="11" customFormat="false" ht="15" hidden="false" customHeight="false" outlineLevel="0" collapsed="false">
      <c r="A11" s="17" t="s">
        <v>220</v>
      </c>
      <c r="B11" s="18" t="n">
        <f aca="false">SUM(B6:B10)</f>
        <v>0</v>
      </c>
      <c r="C11" s="18" t="n">
        <f aca="false">SUM(C6:C10)</f>
        <v>0</v>
      </c>
      <c r="D11" s="18" t="n">
        <f aca="false">SUM(D6:D10)</f>
        <v>0</v>
      </c>
      <c r="E11" s="18" t="n">
        <f aca="false">SUM(E6:E10)</f>
        <v>0</v>
      </c>
      <c r="F11" s="18" t="n">
        <f aca="false">SUM(F6:F10)</f>
        <v>0</v>
      </c>
    </row>
    <row r="13" customFormat="false" ht="19.5" hidden="false" customHeight="true" outlineLevel="0" collapsed="false">
      <c r="A13" s="6" t="s">
        <v>221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7" t="s">
        <v>69</v>
      </c>
      <c r="B14" s="7" t="s">
        <v>222</v>
      </c>
      <c r="C14" s="7" t="s">
        <v>223</v>
      </c>
      <c r="D14" s="7" t="s">
        <v>224</v>
      </c>
      <c r="E14" s="7"/>
      <c r="F14" s="7"/>
      <c r="G14" s="7"/>
      <c r="H14" s="7"/>
    </row>
    <row r="15" customFormat="false" ht="15" hidden="false" customHeight="false" outlineLevel="0" collapsed="false">
      <c r="A15" s="17" t="s">
        <v>74</v>
      </c>
      <c r="B15" s="18" t="n">
        <f aca="false">H6</f>
        <v>0</v>
      </c>
      <c r="C15" s="19" t="str">
        <f aca="false">IF(B15&gt;0.1,"CONFLICT","OK")</f>
        <v>OK</v>
      </c>
      <c r="D15" s="19" t="str">
        <f aca="false">IF(B15&gt;0.1,"FDE to drive consensus before onboarding","No action — within tolerance")</f>
        <v>No action — within tolerance</v>
      </c>
    </row>
    <row r="16" customFormat="false" ht="15" hidden="false" customHeight="false" outlineLevel="0" collapsed="false">
      <c r="A16" s="17" t="s">
        <v>75</v>
      </c>
      <c r="B16" s="18" t="n">
        <f aca="false">H7</f>
        <v>0</v>
      </c>
      <c r="C16" s="19" t="str">
        <f aca="false">IF(B16&gt;0.1,"CONFLICT","OK")</f>
        <v>OK</v>
      </c>
      <c r="D16" s="19" t="str">
        <f aca="false">IF(B16&gt;0.1,"FDE to drive consensus before onboarding","No action — within tolerance")</f>
        <v>No action — within tolerance</v>
      </c>
    </row>
    <row r="17" customFormat="false" ht="15" hidden="false" customHeight="false" outlineLevel="0" collapsed="false">
      <c r="A17" s="17" t="s">
        <v>76</v>
      </c>
      <c r="B17" s="18" t="n">
        <f aca="false">H8</f>
        <v>0</v>
      </c>
      <c r="C17" s="19" t="str">
        <f aca="false">IF(B17&gt;0.1,"CONFLICT","OK")</f>
        <v>OK</v>
      </c>
      <c r="D17" s="19" t="str">
        <f aca="false">IF(B17&gt;0.1,"FDE to drive consensus before onboarding","No action — within tolerance")</f>
        <v>No action — within tolerance</v>
      </c>
    </row>
    <row r="18" customFormat="false" ht="15" hidden="false" customHeight="false" outlineLevel="0" collapsed="false">
      <c r="A18" s="17" t="s">
        <v>77</v>
      </c>
      <c r="B18" s="18" t="n">
        <f aca="false">H9</f>
        <v>0</v>
      </c>
      <c r="C18" s="19" t="str">
        <f aca="false">IF(B18&gt;0.1,"CONFLICT","OK")</f>
        <v>OK</v>
      </c>
      <c r="D18" s="19" t="str">
        <f aca="false">IF(B18&gt;0.1,"FDE to drive consensus before onboarding","No action — within tolerance")</f>
        <v>No action — within tolerance</v>
      </c>
    </row>
    <row r="19" customFormat="false" ht="15" hidden="false" customHeight="false" outlineLevel="0" collapsed="false">
      <c r="A19" s="17" t="s">
        <v>78</v>
      </c>
      <c r="B19" s="18" t="n">
        <f aca="false">H10</f>
        <v>0</v>
      </c>
      <c r="C19" s="19" t="str">
        <f aca="false">IF(B19&gt;0.1,"CONFLICT","OK")</f>
        <v>OK</v>
      </c>
      <c r="D19" s="19" t="str">
        <f aca="false">IF(B19&gt;0.1,"FDE to drive consensus before onboarding","No action — within tolerance")</f>
        <v>No action — within tolerance</v>
      </c>
    </row>
    <row r="21" customFormat="false" ht="19.5" hidden="false" customHeight="true" outlineLevel="0" collapsed="false">
      <c r="A21" s="6" t="s">
        <v>225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7" t="s">
        <v>226</v>
      </c>
      <c r="B22" s="7" t="s">
        <v>227</v>
      </c>
      <c r="C22" s="7" t="s">
        <v>228</v>
      </c>
      <c r="D22" s="7" t="s">
        <v>229</v>
      </c>
      <c r="E22" s="7" t="s">
        <v>230</v>
      </c>
      <c r="F22" s="7"/>
      <c r="G22" s="7"/>
      <c r="H22" s="7"/>
    </row>
    <row r="23" customFormat="false" ht="15" hidden="false" customHeight="false" outlineLevel="0" collapsed="false">
      <c r="A23" s="17" t="s">
        <v>40</v>
      </c>
      <c r="B23" s="25" t="n">
        <f aca="false">IFERROR(CRO!C62,0)</f>
        <v>0</v>
      </c>
      <c r="C23" s="23" t="n">
        <v>16</v>
      </c>
      <c r="D23" s="19" t="str">
        <f aca="false">IF(B23&gt;=C23,"PASS","BELOW")</f>
        <v>BELOW</v>
      </c>
      <c r="E23" s="9"/>
    </row>
    <row r="24" customFormat="false" ht="15" hidden="false" customHeight="false" outlineLevel="0" collapsed="false">
      <c r="A24" s="17" t="s">
        <v>138</v>
      </c>
      <c r="B24" s="25" t="n">
        <f aca="false">IFERROR(CFO!C62,0)</f>
        <v>0</v>
      </c>
      <c r="C24" s="23" t="n">
        <v>16</v>
      </c>
      <c r="D24" s="19" t="str">
        <f aca="false">IF(B24&gt;=C24,"PASS","BELOW")</f>
        <v>BELOW</v>
      </c>
      <c r="E24" s="9"/>
    </row>
    <row r="25" customFormat="false" ht="15" hidden="false" customHeight="false" outlineLevel="0" collapsed="false">
      <c r="A25" s="17" t="s">
        <v>157</v>
      </c>
      <c r="B25" s="25" t="n">
        <f aca="false">IFERROR(CEO!C62,0)</f>
        <v>0</v>
      </c>
      <c r="C25" s="23" t="n">
        <v>16</v>
      </c>
      <c r="D25" s="19" t="str">
        <f aca="false">IF(B25&gt;=C25,"PASS","BELOW")</f>
        <v>BELOW</v>
      </c>
      <c r="E25" s="9"/>
    </row>
    <row r="26" customFormat="false" ht="15" hidden="false" customHeight="false" outlineLevel="0" collapsed="false">
      <c r="A26" s="17" t="s">
        <v>217</v>
      </c>
      <c r="B26" s="25" t="n">
        <f aca="false">IFERROR(VPCS!C62,0)</f>
        <v>0</v>
      </c>
      <c r="C26" s="23" t="n">
        <v>16</v>
      </c>
      <c r="D26" s="19" t="str">
        <f aca="false">IF(B26&gt;=C26,"PASS","BELOW")</f>
        <v>BELOW</v>
      </c>
      <c r="E26" s="9"/>
    </row>
    <row r="27" customFormat="false" ht="15" hidden="false" customHeight="false" outlineLevel="0" collapsed="false">
      <c r="A27" s="17" t="s">
        <v>197</v>
      </c>
      <c r="B27" s="25" t="n">
        <f aca="false">IFERROR(CSM!C62,0)</f>
        <v>0</v>
      </c>
      <c r="C27" s="23" t="n">
        <v>16</v>
      </c>
      <c r="D27" s="19" t="str">
        <f aca="false">IF(B27&gt;=C27,"PASS","BELOW")</f>
        <v>BELOW</v>
      </c>
      <c r="E27" s="9"/>
    </row>
    <row r="28" customFormat="false" ht="15" hidden="false" customHeight="false" outlineLevel="0" collapsed="false">
      <c r="A28" s="17" t="s">
        <v>231</v>
      </c>
      <c r="B28" s="23" t="n">
        <f aca="false">SUM(B23:B27)</f>
        <v>0</v>
      </c>
      <c r="C28" s="19" t="n">
        <v>80</v>
      </c>
      <c r="D28" s="19" t="str">
        <f aca="false">IF(B28&gt;=80,"READY FOR HANDOVER","NEEDS MORE CALIBRATION")</f>
        <v>NEEDS MORE CALIBRATION</v>
      </c>
    </row>
    <row r="30" customFormat="false" ht="19.5" hidden="false" customHeight="true" outlineLevel="0" collapsed="false">
      <c r="A30" s="6" t="s">
        <v>232</v>
      </c>
      <c r="B30" s="6"/>
      <c r="C30" s="6"/>
      <c r="D30" s="6"/>
      <c r="E30" s="6"/>
      <c r="F30" s="6"/>
    </row>
    <row r="31" customFormat="false" ht="27.75" hidden="false" customHeight="true" outlineLevel="0" collapsed="false">
      <c r="A31" s="7" t="s">
        <v>233</v>
      </c>
      <c r="B31" s="7" t="s">
        <v>234</v>
      </c>
      <c r="C31" s="7" t="s">
        <v>235</v>
      </c>
      <c r="D31" s="7" t="s">
        <v>33</v>
      </c>
      <c r="E31" s="7"/>
      <c r="F31" s="7"/>
      <c r="G31" s="7"/>
      <c r="H31" s="7"/>
    </row>
    <row r="32" customFormat="false" ht="15" hidden="false" customHeight="false" outlineLevel="0" collapsed="false">
      <c r="A32" s="17" t="s">
        <v>236</v>
      </c>
      <c r="B32" s="18" t="n">
        <f aca="false">G6</f>
        <v>0</v>
      </c>
      <c r="C32" s="10" t="s">
        <v>237</v>
      </c>
      <c r="D32" s="10" t="s">
        <v>238</v>
      </c>
    </row>
    <row r="33" customFormat="false" ht="15" hidden="false" customHeight="false" outlineLevel="0" collapsed="false">
      <c r="A33" s="17" t="s">
        <v>239</v>
      </c>
      <c r="B33" s="18" t="n">
        <f aca="false">G7</f>
        <v>0</v>
      </c>
      <c r="C33" s="10" t="s">
        <v>237</v>
      </c>
      <c r="D33" s="10" t="s">
        <v>240</v>
      </c>
    </row>
    <row r="34" customFormat="false" ht="15" hidden="false" customHeight="false" outlineLevel="0" collapsed="false">
      <c r="A34" s="17" t="s">
        <v>241</v>
      </c>
      <c r="B34" s="18" t="n">
        <f aca="false">G8</f>
        <v>0</v>
      </c>
      <c r="C34" s="10" t="s">
        <v>237</v>
      </c>
      <c r="D34" s="10" t="s">
        <v>242</v>
      </c>
    </row>
    <row r="35" customFormat="false" ht="15" hidden="false" customHeight="false" outlineLevel="0" collapsed="false">
      <c r="A35" s="17" t="s">
        <v>243</v>
      </c>
      <c r="B35" s="18" t="n">
        <f aca="false">G9</f>
        <v>0</v>
      </c>
      <c r="C35" s="10" t="s">
        <v>237</v>
      </c>
      <c r="D35" s="10" t="s">
        <v>244</v>
      </c>
    </row>
    <row r="36" customFormat="false" ht="15" hidden="false" customHeight="false" outlineLevel="0" collapsed="false">
      <c r="A36" s="17" t="s">
        <v>245</v>
      </c>
      <c r="B36" s="18" t="n">
        <f aca="false">G10</f>
        <v>0</v>
      </c>
      <c r="C36" s="10" t="s">
        <v>237</v>
      </c>
      <c r="D36" s="10" t="s">
        <v>246</v>
      </c>
    </row>
    <row r="37" customFormat="false" ht="15" hidden="false" customHeight="false" outlineLevel="0" collapsed="false">
      <c r="A37" s="17" t="s">
        <v>247</v>
      </c>
      <c r="B37" s="26" t="s">
        <v>248</v>
      </c>
      <c r="C37" s="10" t="s">
        <v>249</v>
      </c>
      <c r="D37" s="10" t="s">
        <v>250</v>
      </c>
    </row>
    <row r="38" customFormat="false" ht="15" hidden="false" customHeight="false" outlineLevel="0" collapsed="false">
      <c r="A38" s="17" t="s">
        <v>251</v>
      </c>
      <c r="B38" s="26" t="s">
        <v>252</v>
      </c>
      <c r="C38" s="10" t="s">
        <v>249</v>
      </c>
      <c r="D38" s="10" t="s">
        <v>253</v>
      </c>
    </row>
    <row r="39" customFormat="false" ht="15" hidden="false" customHeight="false" outlineLevel="0" collapsed="false">
      <c r="A39" s="17" t="s">
        <v>254</v>
      </c>
      <c r="B39" s="26" t="s">
        <v>255</v>
      </c>
      <c r="C39" s="10" t="s">
        <v>256</v>
      </c>
      <c r="D39" s="10" t="s">
        <v>257</v>
      </c>
    </row>
    <row r="40" customFormat="false" ht="15" hidden="false" customHeight="false" outlineLevel="0" collapsed="false">
      <c r="A40" s="17" t="s">
        <v>258</v>
      </c>
      <c r="B40" s="26" t="s">
        <v>259</v>
      </c>
      <c r="C40" s="10" t="s">
        <v>260</v>
      </c>
      <c r="D40" s="10" t="s">
        <v>261</v>
      </c>
    </row>
    <row r="42" customFormat="false" ht="19.5" hidden="false" customHeight="true" outlineLevel="0" collapsed="false">
      <c r="A42" s="6" t="s">
        <v>262</v>
      </c>
      <c r="B42" s="6"/>
      <c r="C42" s="6"/>
      <c r="D42" s="6"/>
      <c r="E42" s="6"/>
      <c r="F42" s="6"/>
    </row>
    <row r="43" customFormat="false" ht="27.75" hidden="false" customHeight="true" outlineLevel="0" collapsed="false">
      <c r="A43" s="7" t="s">
        <v>81</v>
      </c>
      <c r="B43" s="7" t="s">
        <v>40</v>
      </c>
      <c r="C43" s="7" t="s">
        <v>138</v>
      </c>
      <c r="D43" s="7" t="s">
        <v>157</v>
      </c>
      <c r="E43" s="7" t="s">
        <v>217</v>
      </c>
      <c r="F43" s="7" t="s">
        <v>197</v>
      </c>
      <c r="G43" s="7" t="s">
        <v>263</v>
      </c>
      <c r="H43" s="7" t="s">
        <v>264</v>
      </c>
    </row>
    <row r="44" customFormat="false" ht="15" hidden="false" customHeight="false" outlineLevel="0" collapsed="false">
      <c r="A44" s="17" t="s">
        <v>85</v>
      </c>
      <c r="B44" s="9"/>
      <c r="C44" s="9"/>
      <c r="D44" s="9"/>
      <c r="E44" s="9"/>
      <c r="F44" s="9"/>
      <c r="G44" s="8"/>
      <c r="H44" s="9"/>
    </row>
    <row r="45" customFormat="false" ht="15" hidden="false" customHeight="false" outlineLevel="0" collapsed="false">
      <c r="A45" s="17" t="s">
        <v>87</v>
      </c>
      <c r="B45" s="9"/>
      <c r="C45" s="9"/>
      <c r="D45" s="9"/>
      <c r="E45" s="9"/>
      <c r="F45" s="9"/>
      <c r="G45" s="8"/>
      <c r="H45" s="9"/>
    </row>
    <row r="46" customFormat="false" ht="15" hidden="false" customHeight="false" outlineLevel="0" collapsed="false">
      <c r="A46" s="17" t="s">
        <v>89</v>
      </c>
      <c r="B46" s="9"/>
      <c r="C46" s="9"/>
      <c r="D46" s="9"/>
      <c r="E46" s="9"/>
      <c r="F46" s="9"/>
      <c r="G46" s="8"/>
      <c r="H46" s="9"/>
    </row>
    <row r="47" customFormat="false" ht="15" hidden="false" customHeight="false" outlineLevel="0" collapsed="false">
      <c r="A47" s="17" t="s">
        <v>91</v>
      </c>
      <c r="B47" s="9"/>
      <c r="C47" s="9"/>
      <c r="D47" s="9"/>
      <c r="E47" s="9"/>
      <c r="F47" s="9"/>
      <c r="G47" s="8"/>
      <c r="H47" s="9"/>
    </row>
    <row r="48" customFormat="false" ht="15" hidden="false" customHeight="false" outlineLevel="0" collapsed="false">
      <c r="A48" s="17" t="s">
        <v>93</v>
      </c>
      <c r="B48" s="9"/>
      <c r="C48" s="9"/>
      <c r="D48" s="9"/>
      <c r="E48" s="9"/>
      <c r="F48" s="9"/>
      <c r="G48" s="8"/>
      <c r="H48" s="9"/>
    </row>
    <row r="49" customFormat="false" ht="15" hidden="false" customHeight="false" outlineLevel="0" collapsed="false">
      <c r="A49" s="17" t="s">
        <v>95</v>
      </c>
      <c r="B49" s="9"/>
      <c r="C49" s="9"/>
      <c r="D49" s="9"/>
      <c r="E49" s="9"/>
      <c r="F49" s="9"/>
      <c r="G49" s="8"/>
      <c r="H49" s="9"/>
    </row>
    <row r="51" customFormat="false" ht="19.5" hidden="false" customHeight="true" outlineLevel="0" collapsed="false">
      <c r="A51" s="6" t="s">
        <v>265</v>
      </c>
      <c r="B51" s="6"/>
      <c r="C51" s="6"/>
      <c r="D51" s="6"/>
      <c r="E51" s="6"/>
      <c r="F51" s="6"/>
    </row>
    <row r="52" customFormat="false" ht="27.75" hidden="false" customHeight="true" outlineLevel="0" collapsed="false">
      <c r="A52" s="7" t="s">
        <v>266</v>
      </c>
      <c r="B52" s="7" t="s">
        <v>267</v>
      </c>
      <c r="C52" s="7" t="s">
        <v>268</v>
      </c>
      <c r="D52" s="7" t="s">
        <v>269</v>
      </c>
      <c r="E52" s="7"/>
      <c r="F52" s="7"/>
      <c r="G52" s="7"/>
      <c r="H52" s="7"/>
    </row>
    <row r="53" customFormat="false" ht="15" hidden="false" customHeight="false" outlineLevel="0" collapsed="false">
      <c r="A53" s="17" t="s">
        <v>270</v>
      </c>
      <c r="B53" s="8"/>
      <c r="C53" s="8"/>
      <c r="D53" s="8"/>
    </row>
    <row r="54" customFormat="false" ht="15" hidden="false" customHeight="false" outlineLevel="0" collapsed="false">
      <c r="A54" s="17" t="s">
        <v>271</v>
      </c>
      <c r="B54" s="8"/>
      <c r="C54" s="8"/>
      <c r="D54" s="8"/>
    </row>
    <row r="55" customFormat="false" ht="15" hidden="false" customHeight="false" outlineLevel="0" collapsed="false">
      <c r="A55" s="17" t="s">
        <v>272</v>
      </c>
      <c r="B55" s="8"/>
      <c r="C55" s="8"/>
      <c r="D55" s="8"/>
    </row>
  </sheetData>
  <mergeCells count="8">
    <mergeCell ref="A1:F1"/>
    <mergeCell ref="A2:H2"/>
    <mergeCell ref="A4:F4"/>
    <mergeCell ref="A13:F13"/>
    <mergeCell ref="A21:F21"/>
    <mergeCell ref="A30:F30"/>
    <mergeCell ref="A42:F42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2026-05-17T01:14:40Z</dcterms:created>
  <dc:creator>openpyxl</dc:creator>
  <dc:description/>
  <dc:language>en-US</dc:language>
  <cp:lastModifiedBy/>
  <dcterms:modified xsi:type="dcterms:W3CDTF">2026-05-17T01:14:40Z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